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LAN DE COMUNICACIÓN DE LISTAS DE ESPERA\2022\WEB 30062022\"/>
    </mc:Choice>
  </mc:AlternateContent>
  <xr:revisionPtr revIDLastSave="0" documentId="13_ncr:1_{0ED545C2-B135-4DBC-AFDD-AA12E7041701}" xr6:coauthVersionLast="47" xr6:coauthVersionMax="47" xr10:uidLastSave="{00000000-0000-0000-0000-000000000000}"/>
  <bookViews>
    <workbookView xWindow="-120" yWindow="-120" windowWidth="25440" windowHeight="15390" tabRatio="1000" firstSheet="8" activeTab="35" xr2:uid="{00000000-000D-0000-FFFF-FFFF00000000}"/>
  </bookViews>
  <sheets>
    <sheet name="TOTAL" sheetId="1" r:id="rId1"/>
    <sheet name="ALG" sheetId="2" r:id="rId2"/>
    <sheet name="ANR" sheetId="3" r:id="rId3"/>
    <sheet name="ACV" sheetId="5" r:id="rId4"/>
    <sheet name="CAR" sheetId="7" r:id="rId5"/>
    <sheet name="CCA" sheetId="8" r:id="rId6"/>
    <sheet name="CGD" sheetId="9" r:id="rId7"/>
    <sheet name="CMF" sheetId="10" r:id="rId8"/>
    <sheet name="CPE" sheetId="11" r:id="rId9"/>
    <sheet name="CPL" sheetId="12" r:id="rId10"/>
    <sheet name="CTO" sheetId="13" r:id="rId11"/>
    <sheet name="DER" sheetId="14" r:id="rId12"/>
    <sheet name="DIG" sheetId="15" r:id="rId13"/>
    <sheet name="END" sheetId="16" r:id="rId14"/>
    <sheet name="GRT" sheetId="17" r:id="rId15"/>
    <sheet name="GIN" sheetId="18" r:id="rId16"/>
    <sheet name="HEM" sheetId="19" r:id="rId17"/>
    <sheet name="MIR" sheetId="20" r:id="rId18"/>
    <sheet name="MPR" sheetId="40" r:id="rId19"/>
    <sheet name="NEF" sheetId="21" r:id="rId20"/>
    <sheet name="NML" sheetId="22" r:id="rId21"/>
    <sheet name="NRC" sheetId="23" r:id="rId22"/>
    <sheet name="NFL" sheetId="38" r:id="rId23"/>
    <sheet name="NRL" sheetId="24" r:id="rId24"/>
    <sheet name="OBS" sheetId="25" r:id="rId25"/>
    <sheet name="OFT" sheetId="26" r:id="rId26"/>
    <sheet name="ONC" sheetId="27" r:id="rId27"/>
    <sheet name="ONR" sheetId="28" r:id="rId28"/>
    <sheet name="ORL" sheetId="29" r:id="rId29"/>
    <sheet name="PED" sheetId="30" r:id="rId30"/>
    <sheet name="PSQ" sheetId="31" r:id="rId31"/>
    <sheet name="REH" sheetId="32" r:id="rId32"/>
    <sheet name="REU" sheetId="33" r:id="rId33"/>
    <sheet name="TRA" sheetId="34" r:id="rId34"/>
    <sheet name="URO" sheetId="36" r:id="rId35"/>
    <sheet name="Pendientes" sheetId="39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9" i="39" l="1"/>
  <c r="P22" i="39"/>
  <c r="P9" i="39"/>
  <c r="P5" i="39"/>
  <c r="P38" i="39"/>
  <c r="P6" i="39"/>
  <c r="P7" i="39"/>
  <c r="P8" i="39"/>
  <c r="P10" i="39"/>
  <c r="P11" i="39"/>
  <c r="P12" i="39"/>
  <c r="P13" i="39"/>
  <c r="P14" i="39"/>
  <c r="P15" i="39"/>
  <c r="P16" i="39"/>
  <c r="P17" i="39"/>
  <c r="P18" i="39"/>
  <c r="P19" i="39"/>
  <c r="P20" i="39"/>
  <c r="P21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9" i="39" l="1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</calcChain>
</file>

<file path=xl/sharedStrings.xml><?xml version="1.0" encoding="utf-8"?>
<sst xmlns="http://schemas.openxmlformats.org/spreadsheetml/2006/main" count="1242" uniqueCount="75">
  <si>
    <t>CA Ávila</t>
  </si>
  <si>
    <t>CAU Burgos</t>
  </si>
  <si>
    <t>H Santiago Apóstol</t>
  </si>
  <si>
    <t>H Santos Reyes</t>
  </si>
  <si>
    <t>H El Bierzo</t>
  </si>
  <si>
    <t>CAU LEÓN</t>
  </si>
  <si>
    <t>CAU PALENCIA</t>
  </si>
  <si>
    <t>CAU Salamanca</t>
  </si>
  <si>
    <t>CA Segovia</t>
  </si>
  <si>
    <t>CA Soria</t>
  </si>
  <si>
    <t>HURH Valladolid</t>
  </si>
  <si>
    <t>H Medina del Campo</t>
  </si>
  <si>
    <t>HCU Valladolid</t>
  </si>
  <si>
    <t>CA Zamora</t>
  </si>
  <si>
    <t>Castilla y León</t>
  </si>
  <si>
    <t>Número de pacientes en espera para primera  consulta externa</t>
  </si>
  <si>
    <t>Porcentaje de pacientes en espera estructural sobre el total de pacientes en espera para una primera consulta</t>
  </si>
  <si>
    <t>Tiempo medio (días) de espera estructural para primeras consultas</t>
  </si>
  <si>
    <t>ANGIOLOGÍA Y CIRUGÍA VASCULAR</t>
  </si>
  <si>
    <t>CARDIOLOGÍA</t>
  </si>
  <si>
    <t>CIRUGÍA CARDIACA</t>
  </si>
  <si>
    <t>CIRUGÍA MAXILOFACIAL</t>
  </si>
  <si>
    <t>CIRUGÍA PEDIATRÍCA</t>
  </si>
  <si>
    <t>CIRUGÍA TORÁCICA</t>
  </si>
  <si>
    <t>DERMATOLOGÍA</t>
  </si>
  <si>
    <t>DIGESTIVO</t>
  </si>
  <si>
    <t>ENDOCRINOLOGÍA</t>
  </si>
  <si>
    <t>GERIATRÍA</t>
  </si>
  <si>
    <t>GINECOLOGÍA</t>
  </si>
  <si>
    <t>HEMATOLOGÍA</t>
  </si>
  <si>
    <t>MEDICINA INTERNA</t>
  </si>
  <si>
    <t>NEFROLOGÍA</t>
  </si>
  <si>
    <t>NEUMOLOGÍA</t>
  </si>
  <si>
    <t>NEUROCIRUGÍA</t>
  </si>
  <si>
    <t>NEUROLOGÍA</t>
  </si>
  <si>
    <t>OBSTÉTRICIA</t>
  </si>
  <si>
    <t xml:space="preserve">OFTALMOLOGÍA </t>
  </si>
  <si>
    <t>OTORRINOLARINGOLOGÍA</t>
  </si>
  <si>
    <t>PEDIÁTRIA</t>
  </si>
  <si>
    <t>PSIQUIATRÍA</t>
  </si>
  <si>
    <t>REHABILITACIÓN</t>
  </si>
  <si>
    <t>REUMATOLOGÍA</t>
  </si>
  <si>
    <t>UROLOGÍA</t>
  </si>
  <si>
    <t>Total Especialidades</t>
  </si>
  <si>
    <t>Los datos de lista de espera de Consultas Externas presentan diferencias en el registro que afectan a su homogeneidad, validez y representatividad:
      1. Inclusión de registros que no se ajustan estríctamente a los criterios establecidos en el RD 605/2003 de 23 de mayo, tales como peticiones de consultas sucesivas.
      2. Falta de criterio homogéneo en el procedimiento de gestión de la cita entre los hospitales de la Comunidad.</t>
  </si>
  <si>
    <t>ALERGOLOGÍA</t>
  </si>
  <si>
    <t>ANESTESIA Y REANIMACIÓN</t>
  </si>
  <si>
    <t>CIRUGÍA CARDÍACA</t>
  </si>
  <si>
    <t>CIRUGÍA GENERAL Y DIGESTIVA</t>
  </si>
  <si>
    <t>CIRUGÍA PEDIÁTRICA</t>
  </si>
  <si>
    <t>CIRUGÍA PLÁSTICA Y REPARADORA</t>
  </si>
  <si>
    <t>NEUROFISIOLOGÍA CLÍNICA</t>
  </si>
  <si>
    <t>OFTALMOLOGÍA</t>
  </si>
  <si>
    <t>ONCOLOGÍA MÉDICA</t>
  </si>
  <si>
    <t>ONCOLOGÍA RADIOTERÁPICA</t>
  </si>
  <si>
    <t>PEDIATRÍA</t>
  </si>
  <si>
    <t>TRAUMATOLOGÍA Y C. ORTOPÉDICA</t>
  </si>
  <si>
    <t>OBSTETRICIA</t>
  </si>
  <si>
    <t>TRAUMATOLOGÍA Y CIRUGÍA ORTOPÉDICA</t>
  </si>
  <si>
    <r>
      <t xml:space="preserve">Se clasifican los pacientes incluidos en el registro, en función del tipo de espera, como:
</t>
    </r>
    <r>
      <rPr>
        <b/>
        <sz val="10"/>
        <color theme="1"/>
        <rFont val="Calibri"/>
        <family val="2"/>
        <scheme val="minor"/>
      </rPr>
      <t xml:space="preserve">Pacientes en espera estructural. </t>
    </r>
    <r>
      <rPr>
        <sz val="10"/>
        <color theme="1"/>
        <rFont val="Calibri"/>
        <family val="2"/>
        <scheme val="minor"/>
      </rPr>
      <t xml:space="preserve">Incluye los pacientes que, en un momento dado, se encuentran pendientes de ser vistos en consulta de atención especializada o de la realización de una prueba diagnóstica/terapéutica, y cuya espera es atribuible a la organización y recursos disponibles.
</t>
    </r>
    <r>
      <rPr>
        <b/>
        <sz val="10"/>
        <color theme="1"/>
        <rFont val="Calibri"/>
        <family val="2"/>
        <scheme val="minor"/>
      </rPr>
      <t xml:space="preserve">Pacientes en espera no estructural. </t>
    </r>
    <r>
      <rPr>
        <sz val="10"/>
        <color theme="1"/>
        <rFont val="Calibri"/>
        <family val="2"/>
        <scheme val="minor"/>
      </rPr>
      <t xml:space="preserve">Pacientes incluidos en el registro en un momento dado, pero cuya espera no es atribuible a la organización y a los recursos disponibles, sino a circunstancias especiales de la solicitud de la cita:
1. Pacientes con demora atribuible a la propia voluntad del paciente (pacientes en espera voluntaria por motivos personales, laborales o por libre elección
de médico).
2. Resto de pacientes incluidos en el registro cuya cita se ha establecido sobre una fecha solicitada por el médico peticionario .
</t>
    </r>
    <r>
      <rPr>
        <b/>
        <sz val="10"/>
        <color theme="1"/>
        <rFont val="Calibri"/>
        <family val="2"/>
        <scheme val="minor"/>
      </rPr>
      <t xml:space="preserve">Demora: </t>
    </r>
    <r>
      <rPr>
        <i/>
        <sz val="10"/>
        <color theme="1"/>
        <rFont val="Calibri"/>
        <family val="2"/>
        <scheme val="minor"/>
      </rPr>
      <t xml:space="preserve">Tiempo medio de espera de los pacientes pendientes de consulta externa. </t>
    </r>
    <r>
      <rPr>
        <sz val="10"/>
        <color theme="1"/>
        <rFont val="Calibri"/>
        <family val="2"/>
        <scheme val="minor"/>
      </rPr>
      <t xml:space="preserve">
</t>
    </r>
  </si>
  <si>
    <t>LISTA DE ESPERA Y DEMORA MEDIA DE CONSULTAS EXTERNAS POR SERVICIOS Y HOSPITAL</t>
  </si>
  <si>
    <t>CIRUGÍA PLASTICA Y REPARADORA</t>
  </si>
  <si>
    <t>Primeras Consultas registradas pendiente de cita : distribución por servicio y Hospital</t>
  </si>
  <si>
    <t>Servício</t>
  </si>
  <si>
    <t>Total por Hospital</t>
  </si>
  <si>
    <t xml:space="preserve">Pacientes pendientes de Asignación  de Cita para una primera consulta </t>
  </si>
  <si>
    <t>NEUROFISIOLOGÍA</t>
  </si>
  <si>
    <t>VARIOS</t>
  </si>
  <si>
    <t xml:space="preserve"> </t>
  </si>
  <si>
    <t>MEDICINA PREVENTIVA</t>
  </si>
  <si>
    <r>
      <rPr>
        <b/>
        <sz val="20"/>
        <color theme="1"/>
        <rFont val="Calibri"/>
        <family val="2"/>
        <scheme val="minor"/>
      </rPr>
      <t>LISTA DE ESPERA Y DEMORA MEDIA CONSULTAS EXTERNAS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30 de junio de 2022</t>
    </r>
  </si>
  <si>
    <r>
      <t>LISTA DE ESPERA Y DEMORA MEDIA CONSULTAS EXTERNAS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30 de junio de 2022</t>
    </r>
  </si>
  <si>
    <t>A 30/06/2022</t>
  </si>
  <si>
    <t>Fecha: 30/06/2022</t>
  </si>
  <si>
    <t>Fecha:  30/06/2022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</si>
</sst>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i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Helvetica"/>
      <family val="2"/>
    </font>
    <font>
      <sz val="12"/>
      <color rgb="FF202124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theme="4" tint="0.399945066682943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4" tint="0.59996337778862885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</cellStyleXfs>
  <cellXfs count="84">
    <xf numFmtId="0" fontId="0" fillId="0" borderId="0" xfId="0"/>
    <xf numFmtId="2" fontId="7" fillId="3" borderId="0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vertical="center"/>
    </xf>
    <xf numFmtId="3" fontId="10" fillId="0" borderId="1" xfId="0" applyNumberFormat="1" applyFont="1" applyFill="1" applyBorder="1" applyAlignment="1">
      <alignment vertical="center"/>
    </xf>
    <xf numFmtId="0" fontId="11" fillId="0" borderId="0" xfId="0" applyFont="1" applyFill="1"/>
    <xf numFmtId="9" fontId="12" fillId="0" borderId="2" xfId="1" applyFont="1" applyBorder="1" applyAlignment="1">
      <alignment vertical="center"/>
    </xf>
    <xf numFmtId="9" fontId="10" fillId="0" borderId="2" xfId="1" applyFont="1" applyBorder="1" applyAlignment="1">
      <alignment vertical="center"/>
    </xf>
    <xf numFmtId="1" fontId="12" fillId="0" borderId="3" xfId="1" applyNumberFormat="1" applyFont="1" applyBorder="1" applyAlignment="1">
      <alignment vertical="center"/>
    </xf>
    <xf numFmtId="1" fontId="10" fillId="0" borderId="3" xfId="1" applyNumberFormat="1" applyFont="1" applyBorder="1" applyAlignment="1">
      <alignment vertical="center"/>
    </xf>
    <xf numFmtId="0" fontId="13" fillId="0" borderId="0" xfId="0" applyFont="1"/>
    <xf numFmtId="0" fontId="9" fillId="0" borderId="0" xfId="2" applyFont="1" applyAlignment="1"/>
    <xf numFmtId="0" fontId="9" fillId="0" borderId="0" xfId="2" applyFont="1" applyBorder="1" applyAlignment="1">
      <alignment vertical="top"/>
    </xf>
    <xf numFmtId="0" fontId="9" fillId="0" borderId="0" xfId="2" applyFont="1" applyBorder="1" applyAlignment="1"/>
    <xf numFmtId="0" fontId="9" fillId="0" borderId="0" xfId="3" applyFont="1" applyBorder="1" applyAlignment="1">
      <alignment vertical="top" wrapText="1"/>
    </xf>
    <xf numFmtId="0" fontId="0" fillId="0" borderId="0" xfId="0" applyBorder="1"/>
    <xf numFmtId="0" fontId="0" fillId="4" borderId="0" xfId="0" applyFill="1"/>
    <xf numFmtId="0" fontId="13" fillId="4" borderId="0" xfId="0" applyFont="1" applyFill="1"/>
    <xf numFmtId="0" fontId="0" fillId="4" borderId="0" xfId="0" applyFill="1" applyBorder="1"/>
    <xf numFmtId="0" fontId="15" fillId="5" borderId="0" xfId="4" applyFill="1"/>
    <xf numFmtId="0" fontId="0" fillId="5" borderId="0" xfId="0" applyFill="1"/>
    <xf numFmtId="0" fontId="11" fillId="4" borderId="0" xfId="0" applyFont="1" applyFill="1" applyBorder="1"/>
    <xf numFmtId="0" fontId="11" fillId="5" borderId="0" xfId="0" applyFont="1" applyFill="1" applyBorder="1"/>
    <xf numFmtId="0" fontId="16" fillId="4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7" fillId="4" borderId="0" xfId="0" applyFont="1" applyFill="1" applyBorder="1"/>
    <xf numFmtId="0" fontId="3" fillId="5" borderId="0" xfId="0" applyFont="1" applyFill="1" applyBorder="1"/>
    <xf numFmtId="0" fontId="17" fillId="5" borderId="0" xfId="0" applyFont="1" applyFill="1" applyBorder="1"/>
    <xf numFmtId="0" fontId="18" fillId="4" borderId="0" xfId="0" applyFont="1" applyFill="1" applyBorder="1"/>
    <xf numFmtId="0" fontId="17" fillId="0" borderId="0" xfId="0" applyFont="1" applyBorder="1"/>
    <xf numFmtId="0" fontId="17" fillId="0" borderId="0" xfId="0" applyFont="1"/>
    <xf numFmtId="0" fontId="19" fillId="0" borderId="0" xfId="5"/>
    <xf numFmtId="0" fontId="20" fillId="0" borderId="0" xfId="0" applyFont="1"/>
    <xf numFmtId="0" fontId="21" fillId="0" borderId="0" xfId="5" applyFont="1"/>
    <xf numFmtId="0" fontId="22" fillId="0" borderId="0" xfId="0" applyFont="1"/>
    <xf numFmtId="0" fontId="23" fillId="0" borderId="0" xfId="5" applyFont="1"/>
    <xf numFmtId="2" fontId="7" fillId="3" borderId="5" xfId="0" applyNumberFormat="1" applyFont="1" applyFill="1" applyBorder="1" applyAlignment="1">
      <alignment horizontal="center" vertical="center" wrapText="1"/>
    </xf>
    <xf numFmtId="2" fontId="7" fillId="3" borderId="6" xfId="0" applyNumberFormat="1" applyFont="1" applyFill="1" applyBorder="1" applyAlignment="1">
      <alignment horizontal="center" vertical="center" wrapText="1"/>
    </xf>
    <xf numFmtId="2" fontId="23" fillId="0" borderId="7" xfId="5" applyNumberFormat="1" applyFont="1" applyBorder="1"/>
    <xf numFmtId="3" fontId="23" fillId="0" borderId="8" xfId="5" applyNumberFormat="1" applyFont="1" applyBorder="1"/>
    <xf numFmtId="3" fontId="8" fillId="0" borderId="9" xfId="0" applyNumberFormat="1" applyFont="1" applyFill="1" applyBorder="1" applyAlignment="1">
      <alignment horizontal="left" vertical="center" wrapText="1"/>
    </xf>
    <xf numFmtId="3" fontId="8" fillId="0" borderId="10" xfId="0" applyNumberFormat="1" applyFont="1" applyFill="1" applyBorder="1" applyAlignment="1">
      <alignment horizontal="left" vertical="center" wrapText="1"/>
    </xf>
    <xf numFmtId="3" fontId="8" fillId="0" borderId="11" xfId="0" applyNumberFormat="1" applyFont="1" applyFill="1" applyBorder="1" applyAlignment="1">
      <alignment horizontal="left" vertical="center" wrapText="1"/>
    </xf>
    <xf numFmtId="3" fontId="8" fillId="0" borderId="12" xfId="0" applyNumberFormat="1" applyFont="1" applyFill="1" applyBorder="1" applyAlignment="1">
      <alignment horizontal="left" vertical="center" wrapText="1"/>
    </xf>
    <xf numFmtId="3" fontId="8" fillId="0" borderId="13" xfId="0" applyNumberFormat="1" applyFont="1" applyFill="1" applyBorder="1" applyAlignment="1">
      <alignment horizontal="left" vertical="center" wrapText="1"/>
    </xf>
    <xf numFmtId="3" fontId="8" fillId="0" borderId="14" xfId="0" applyNumberFormat="1" applyFont="1" applyFill="1" applyBorder="1" applyAlignment="1">
      <alignment horizontal="left" vertical="center" wrapText="1"/>
    </xf>
    <xf numFmtId="3" fontId="23" fillId="0" borderId="16" xfId="5" applyNumberFormat="1" applyFont="1" applyBorder="1"/>
    <xf numFmtId="2" fontId="23" fillId="0" borderId="18" xfId="5" applyNumberFormat="1" applyFont="1" applyBorder="1"/>
    <xf numFmtId="3" fontId="23" fillId="0" borderId="19" xfId="5" applyNumberFormat="1" applyFont="1" applyBorder="1"/>
    <xf numFmtId="0" fontId="25" fillId="5" borderId="15" xfId="5" applyFont="1" applyFill="1" applyBorder="1" applyAlignment="1">
      <alignment vertical="center"/>
    </xf>
    <xf numFmtId="3" fontId="25" fillId="5" borderId="16" xfId="5" applyNumberFormat="1" applyFont="1" applyFill="1" applyBorder="1" applyAlignment="1">
      <alignment vertical="center"/>
    </xf>
    <xf numFmtId="2" fontId="23" fillId="0" borderId="20" xfId="5" applyNumberFormat="1" applyFont="1" applyBorder="1"/>
    <xf numFmtId="3" fontId="23" fillId="0" borderId="21" xfId="5" applyNumberFormat="1" applyFont="1" applyBorder="1"/>
    <xf numFmtId="3" fontId="23" fillId="0" borderId="15" xfId="5" applyNumberFormat="1" applyFont="1" applyBorder="1"/>
    <xf numFmtId="2" fontId="7" fillId="3" borderId="22" xfId="0" applyNumberFormat="1" applyFont="1" applyFill="1" applyBorder="1" applyAlignment="1">
      <alignment horizontal="center" vertical="center" wrapText="1"/>
    </xf>
    <xf numFmtId="3" fontId="23" fillId="0" borderId="23" xfId="5" applyNumberFormat="1" applyFont="1" applyBorder="1"/>
    <xf numFmtId="3" fontId="23" fillId="0" borderId="24" xfId="5" applyNumberFormat="1" applyFont="1" applyBorder="1"/>
    <xf numFmtId="3" fontId="23" fillId="0" borderId="25" xfId="5" applyNumberFormat="1" applyFont="1" applyBorder="1"/>
    <xf numFmtId="2" fontId="7" fillId="3" borderId="17" xfId="0" applyNumberFormat="1" applyFont="1" applyFill="1" applyBorder="1" applyAlignment="1">
      <alignment horizontal="center" vertical="center" wrapText="1"/>
    </xf>
    <xf numFmtId="3" fontId="24" fillId="0" borderId="26" xfId="5" applyNumberFormat="1" applyFont="1" applyBorder="1"/>
    <xf numFmtId="3" fontId="24" fillId="0" borderId="27" xfId="5" applyNumberFormat="1" applyFont="1" applyBorder="1"/>
    <xf numFmtId="3" fontId="24" fillId="0" borderId="2" xfId="5" applyNumberFormat="1" applyFont="1" applyBorder="1"/>
    <xf numFmtId="3" fontId="25" fillId="5" borderId="3" xfId="5" applyNumberFormat="1" applyFont="1" applyFill="1" applyBorder="1" applyAlignment="1">
      <alignment vertical="center"/>
    </xf>
    <xf numFmtId="9" fontId="12" fillId="0" borderId="2" xfId="1" quotePrefix="1" applyFont="1" applyBorder="1" applyAlignment="1">
      <alignment horizontal="center" vertical="center"/>
    </xf>
    <xf numFmtId="1" fontId="12" fillId="0" borderId="3" xfId="1" quotePrefix="1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1" fontId="12" fillId="0" borderId="3" xfId="1" applyNumberFormat="1" applyFont="1" applyBorder="1" applyAlignment="1">
      <alignment horizontal="center" vertical="center"/>
    </xf>
    <xf numFmtId="9" fontId="12" fillId="0" borderId="2" xfId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7" fillId="0" borderId="0" xfId="0" applyFont="1"/>
    <xf numFmtId="3" fontId="0" fillId="4" borderId="0" xfId="0" applyNumberFormat="1" applyFill="1" applyBorder="1"/>
    <xf numFmtId="9" fontId="12" fillId="0" borderId="2" xfId="1" applyFont="1" applyBorder="1" applyAlignment="1">
      <alignment horizontal="right" vertical="center"/>
    </xf>
    <xf numFmtId="1" fontId="12" fillId="0" borderId="3" xfId="1" applyNumberFormat="1" applyFont="1" applyBorder="1" applyAlignment="1">
      <alignment horizontal="right" vertical="center"/>
    </xf>
    <xf numFmtId="9" fontId="12" fillId="0" borderId="2" xfId="1" quotePrefix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8" fillId="0" borderId="0" xfId="0" applyFont="1"/>
    <xf numFmtId="0" fontId="3" fillId="2" borderId="4" xfId="2" applyFont="1" applyFill="1" applyBorder="1" applyAlignment="1">
      <alignment horizontal="center" vertical="center" wrapText="1"/>
    </xf>
    <xf numFmtId="0" fontId="9" fillId="4" borderId="0" xfId="3" applyFont="1" applyFill="1" applyBorder="1" applyAlignment="1">
      <alignment vertical="top" wrapText="1"/>
    </xf>
    <xf numFmtId="0" fontId="9" fillId="4" borderId="0" xfId="2" applyFont="1" applyFill="1" applyBorder="1" applyAlignment="1">
      <alignment vertical="top" wrapText="1"/>
    </xf>
    <xf numFmtId="0" fontId="26" fillId="6" borderId="0" xfId="0" applyFont="1" applyFill="1" applyBorder="1" applyAlignment="1">
      <alignment horizontal="left"/>
    </xf>
    <xf numFmtId="0" fontId="4" fillId="2" borderId="4" xfId="2" applyFont="1" applyFill="1" applyBorder="1" applyAlignment="1">
      <alignment horizontal="center" vertical="center" wrapText="1"/>
    </xf>
  </cellXfs>
  <cellStyles count="6">
    <cellStyle name="Hipervínculo" xfId="4" builtinId="8"/>
    <cellStyle name="Normal" xfId="0" builtinId="0"/>
    <cellStyle name="Normal 2" xfId="2" xr:uid="{00000000-0005-0000-0000-000002000000}"/>
    <cellStyle name="Normal 3" xfId="5" xr:uid="{00000000-0005-0000-0000-000003000000}"/>
    <cellStyle name="Normal 4" xfId="3" xr:uid="{00000000-0005-0000-0000-000004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TOT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11</xdr:row>
      <xdr:rowOff>30906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0F0928-31E6-4D77-9C3B-A8F47E64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0" y="381000"/>
          <a:ext cx="561265" cy="5166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11</xdr:row>
      <xdr:rowOff>116631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D1A7AE-1C93-42D9-A2CC-5ABC25B3D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6024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40431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970296-085D-4CD8-82E9-3E0B3F6F9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6881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C65FB4-5D1C-44A9-AC12-A893DC1CD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13123B-475B-491D-817D-634E43F6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8A6A2C-B5E6-4FF9-8191-6BF501D94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1AC62-7FE0-4EAF-A7E0-497AD18A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E9403C-4AED-4A8E-8A29-E4FC34EA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63B3E-3AD6-44A1-9928-FEA770B2A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3C844-81E0-4E58-B935-B79687BC9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F746D8-E5C2-4813-9A5D-3F0457A1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9ABBB-E8F9-493A-B07A-EB0CD95B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02E445-A8A9-4000-89C6-4438C1A8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561265</xdr:colOff>
      <xdr:row>13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AD2AF7-9277-4F67-92E0-4A832D21D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10FCF3-D6AD-4494-9C32-DA7E1FFD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72BD23-DAE7-4E59-8422-D1D5D8033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5B5E43-A1B9-4DB5-A52F-D011CC955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85958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8AC6C-FA07-496F-8944-17F92F639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07BB21-5D31-45CF-955C-FA17C0863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EFA9B9-5981-4291-ABC9-C82DEB22C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54EE6C-F23D-47E3-85ED-2268720C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7DC996-2FD6-4D31-9659-85C122235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34F42-7E54-45D0-9472-0CF4C97C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1363D1-D54F-4DB7-B8B8-D1EEB9EEF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55888-F500-4720-AF86-04E58C0D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4EA05-313F-4ABE-A434-2AA271D7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4D0B7-E08D-41FC-8D98-DB41428C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8CCF6-FAD7-49E1-97D6-8CBE20B18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11DEC-7023-49B2-8AB2-F1F13360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D1433-BEBF-4B88-9218-600019F8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A0F9C-87D8-42A7-9BAA-ED5D4E798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56FF4-173C-46E9-8A34-431D7451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561265</xdr:colOff>
      <xdr:row>12</xdr:row>
      <xdr:rowOff>126156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C88540-6A69-4123-A773-597D5187B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5" y="2647950"/>
          <a:ext cx="561265" cy="77385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0</xdr:row>
      <xdr:rowOff>66675</xdr:rowOff>
    </xdr:from>
    <xdr:to>
      <xdr:col>6</xdr:col>
      <xdr:colOff>685800</xdr:colOff>
      <xdr:row>2</xdr:row>
      <xdr:rowOff>83344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D04107-51FF-4F52-9E3D-68A6666EC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66675"/>
          <a:ext cx="657225" cy="492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7"/>
  <sheetViews>
    <sheetView showGridLines="0" workbookViewId="0">
      <selection activeCell="A6" sqref="A6:XFD7"/>
    </sheetView>
  </sheetViews>
  <sheetFormatPr baseColWidth="10" defaultRowHeight="12.75" x14ac:dyDescent="0.2"/>
  <cols>
    <col min="1" max="1" width="34.28515625" customWidth="1"/>
    <col min="2" max="15" width="12.7109375" customWidth="1"/>
    <col min="16" max="16" width="11.42578125" style="9"/>
  </cols>
  <sheetData>
    <row r="1" spans="1:27" ht="47.25" customHeight="1" thickBot="1" x14ac:dyDescent="0.25">
      <c r="A1" s="79" t="s">
        <v>70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27" ht="34.5" customHeight="1" x14ac:dyDescent="0.2">
      <c r="A2" s="1" t="s">
        <v>43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27" s="4" customFormat="1" ht="39.950000000000003" customHeight="1" x14ac:dyDescent="0.2">
      <c r="A3" s="43" t="s">
        <v>15</v>
      </c>
      <c r="B3" s="2">
        <v>9827</v>
      </c>
      <c r="C3" s="2">
        <v>36562</v>
      </c>
      <c r="D3" s="2">
        <v>3336</v>
      </c>
      <c r="E3" s="2">
        <v>6354</v>
      </c>
      <c r="F3" s="2">
        <v>9405</v>
      </c>
      <c r="G3" s="2">
        <v>29281</v>
      </c>
      <c r="H3" s="2">
        <v>17365</v>
      </c>
      <c r="I3" s="2">
        <v>12373</v>
      </c>
      <c r="J3" s="2">
        <v>9898</v>
      </c>
      <c r="K3" s="2">
        <v>8046</v>
      </c>
      <c r="L3" s="2">
        <v>25547</v>
      </c>
      <c r="M3" s="2">
        <v>2463</v>
      </c>
      <c r="N3" s="2">
        <v>17343</v>
      </c>
      <c r="O3" s="2">
        <v>13075</v>
      </c>
      <c r="P3" s="3">
        <v>200875</v>
      </c>
    </row>
    <row r="4" spans="1:27" ht="39.950000000000003" customHeight="1" x14ac:dyDescent="0.2">
      <c r="A4" s="44" t="s">
        <v>16</v>
      </c>
      <c r="B4" s="5">
        <v>0.68657779586852552</v>
      </c>
      <c r="C4" s="5">
        <v>0.79692029976478307</v>
      </c>
      <c r="D4" s="5">
        <v>0.50599520383693042</v>
      </c>
      <c r="E4" s="5">
        <v>0.82861189801699719</v>
      </c>
      <c r="F4" s="5">
        <v>0.91206804891015414</v>
      </c>
      <c r="G4" s="5">
        <v>0.59427615177077286</v>
      </c>
      <c r="H4" s="5">
        <v>0.47820328246472787</v>
      </c>
      <c r="I4" s="5">
        <v>0.62822274306958703</v>
      </c>
      <c r="J4" s="5">
        <v>0.8946251768033946</v>
      </c>
      <c r="K4" s="5">
        <v>0.9123788217747949</v>
      </c>
      <c r="L4" s="5">
        <v>0.76196813715896194</v>
      </c>
      <c r="M4" s="5">
        <v>0.7880633373934226</v>
      </c>
      <c r="N4" s="5">
        <v>0.70195467912125931</v>
      </c>
      <c r="O4" s="5">
        <v>0.84344168260038244</v>
      </c>
      <c r="P4" s="6">
        <v>0.7253167392657125</v>
      </c>
      <c r="Q4" s="77"/>
    </row>
    <row r="5" spans="1:27" ht="39.950000000000003" customHeight="1" x14ac:dyDescent="0.2">
      <c r="A5" s="45" t="s">
        <v>17</v>
      </c>
      <c r="B5" s="7">
        <v>50.396176078257</v>
      </c>
      <c r="C5" s="7">
        <v>78.209599506663466</v>
      </c>
      <c r="D5" s="7">
        <v>55.197867298578196</v>
      </c>
      <c r="E5" s="7">
        <v>82.912060778727451</v>
      </c>
      <c r="F5" s="7">
        <v>107.58300987024509</v>
      </c>
      <c r="G5" s="7">
        <v>41.680626470082039</v>
      </c>
      <c r="H5" s="7">
        <v>57.205684007707127</v>
      </c>
      <c r="I5" s="7">
        <v>66.796270096463019</v>
      </c>
      <c r="J5" s="7">
        <v>60.022924901185768</v>
      </c>
      <c r="K5" s="7">
        <v>124.31603323797847</v>
      </c>
      <c r="L5" s="7">
        <v>44.403215863556973</v>
      </c>
      <c r="M5" s="7">
        <v>57.93714580113344</v>
      </c>
      <c r="N5" s="7">
        <v>37.056997371879106</v>
      </c>
      <c r="O5" s="7">
        <v>66.409503083061296</v>
      </c>
      <c r="P5" s="8">
        <v>64.614068922125796</v>
      </c>
    </row>
    <row r="6" spans="1:27" ht="15" x14ac:dyDescent="0.2">
      <c r="A6" s="15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27" ht="15" x14ac:dyDescent="0.2">
      <c r="A7" s="17"/>
      <c r="B7" s="73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s="30" customFormat="1" ht="30" customHeight="1" x14ac:dyDescent="0.25">
      <c r="A8" s="25"/>
      <c r="B8" s="26" t="s">
        <v>60</v>
      </c>
      <c r="C8" s="26"/>
      <c r="D8" s="26"/>
      <c r="E8" s="26"/>
      <c r="F8" s="26"/>
      <c r="G8" s="26"/>
      <c r="H8" s="27"/>
      <c r="I8" s="27"/>
      <c r="J8" s="27"/>
      <c r="K8" s="27"/>
      <c r="L8" s="27"/>
      <c r="M8" s="25"/>
      <c r="N8" s="25"/>
      <c r="O8" s="25"/>
      <c r="P8" s="2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s="24" customFormat="1" ht="13.5" customHeight="1" x14ac:dyDescent="0.2">
      <c r="A9" s="20"/>
      <c r="B9" s="21" t="s">
        <v>73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0"/>
      <c r="N9" s="20"/>
      <c r="O9" s="20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s="15" customFormat="1" ht="20.100000000000001" customHeight="1" x14ac:dyDescent="0.2">
      <c r="B10" s="18" t="s">
        <v>45</v>
      </c>
      <c r="C10" s="19"/>
      <c r="D10" s="19"/>
      <c r="E10" s="19"/>
      <c r="F10" s="18" t="s">
        <v>26</v>
      </c>
      <c r="G10" s="19"/>
      <c r="H10" s="19"/>
      <c r="I10" s="18" t="s">
        <v>57</v>
      </c>
      <c r="J10" s="19"/>
      <c r="K10" s="19"/>
      <c r="L10" s="19"/>
      <c r="P10" s="16"/>
    </row>
    <row r="11" spans="1:27" s="15" customFormat="1" ht="20.100000000000001" customHeight="1" x14ac:dyDescent="0.2">
      <c r="B11" s="18" t="s">
        <v>46</v>
      </c>
      <c r="C11" s="19"/>
      <c r="D11" s="19"/>
      <c r="E11" s="19"/>
      <c r="F11" s="18" t="s">
        <v>27</v>
      </c>
      <c r="G11" s="19"/>
      <c r="H11" s="19"/>
      <c r="I11" s="18" t="s">
        <v>52</v>
      </c>
      <c r="J11" s="19"/>
      <c r="K11" s="19"/>
      <c r="L11" s="19"/>
      <c r="P11" s="16"/>
    </row>
    <row r="12" spans="1:27" s="15" customFormat="1" ht="20.100000000000001" customHeight="1" x14ac:dyDescent="0.2">
      <c r="B12" s="18" t="s">
        <v>18</v>
      </c>
      <c r="C12" s="19"/>
      <c r="D12" s="19"/>
      <c r="E12" s="19"/>
      <c r="F12" s="18" t="s">
        <v>28</v>
      </c>
      <c r="G12" s="19"/>
      <c r="H12" s="19"/>
      <c r="I12" s="18" t="s">
        <v>53</v>
      </c>
      <c r="J12" s="19"/>
      <c r="K12" s="19"/>
      <c r="L12" s="19"/>
      <c r="P12" s="16"/>
    </row>
    <row r="13" spans="1:27" s="15" customFormat="1" ht="20.100000000000001" customHeight="1" x14ac:dyDescent="0.2">
      <c r="B13" s="18" t="s">
        <v>19</v>
      </c>
      <c r="C13" s="19"/>
      <c r="D13" s="19"/>
      <c r="E13" s="19"/>
      <c r="F13" s="18" t="s">
        <v>29</v>
      </c>
      <c r="G13" s="19"/>
      <c r="H13" s="19"/>
      <c r="I13" s="18" t="s">
        <v>54</v>
      </c>
      <c r="J13" s="19"/>
      <c r="K13" s="19"/>
      <c r="L13" s="19"/>
      <c r="P13" s="16"/>
    </row>
    <row r="14" spans="1:27" s="15" customFormat="1" ht="20.100000000000001" customHeight="1" x14ac:dyDescent="0.2">
      <c r="B14" s="18" t="s">
        <v>47</v>
      </c>
      <c r="C14" s="19"/>
      <c r="D14" s="19"/>
      <c r="E14" s="19"/>
      <c r="F14" s="18" t="s">
        <v>30</v>
      </c>
      <c r="G14" s="19"/>
      <c r="H14" s="19"/>
      <c r="I14" s="18" t="s">
        <v>37</v>
      </c>
      <c r="J14" s="19"/>
      <c r="K14" s="19"/>
      <c r="L14" s="19"/>
      <c r="P14" s="16"/>
    </row>
    <row r="15" spans="1:27" s="15" customFormat="1" ht="20.100000000000001" customHeight="1" x14ac:dyDescent="0.2">
      <c r="B15" s="18" t="s">
        <v>48</v>
      </c>
      <c r="C15" s="19"/>
      <c r="D15" s="19"/>
      <c r="E15" s="19"/>
      <c r="F15" s="18" t="s">
        <v>69</v>
      </c>
      <c r="G15" s="19"/>
      <c r="H15" s="19"/>
      <c r="I15" s="18" t="s">
        <v>55</v>
      </c>
      <c r="J15" s="19"/>
      <c r="K15" s="19"/>
      <c r="L15" s="19"/>
      <c r="P15" s="16"/>
    </row>
    <row r="16" spans="1:27" s="15" customFormat="1" ht="20.100000000000001" customHeight="1" x14ac:dyDescent="0.2">
      <c r="B16" s="18" t="s">
        <v>21</v>
      </c>
      <c r="C16" s="19"/>
      <c r="D16" s="19"/>
      <c r="E16" s="19"/>
      <c r="F16" s="18" t="s">
        <v>31</v>
      </c>
      <c r="G16" s="19"/>
      <c r="H16" s="19"/>
      <c r="I16" s="18" t="s">
        <v>39</v>
      </c>
      <c r="J16" s="19"/>
      <c r="K16" s="19"/>
      <c r="L16" s="19"/>
      <c r="P16" s="16"/>
    </row>
    <row r="17" spans="1:27" s="15" customFormat="1" ht="20.100000000000001" customHeight="1" x14ac:dyDescent="0.2">
      <c r="B17" s="18" t="s">
        <v>49</v>
      </c>
      <c r="C17" s="19"/>
      <c r="D17" s="19"/>
      <c r="E17" s="19"/>
      <c r="F17" s="18" t="s">
        <v>51</v>
      </c>
      <c r="G17" s="19"/>
      <c r="H17" s="19"/>
      <c r="I17" s="18" t="s">
        <v>40</v>
      </c>
      <c r="J17" s="19"/>
      <c r="K17" s="19"/>
      <c r="L17" s="19"/>
      <c r="P17" s="16"/>
    </row>
    <row r="18" spans="1:27" s="15" customFormat="1" ht="20.100000000000001" customHeight="1" x14ac:dyDescent="0.2">
      <c r="B18" s="18" t="s">
        <v>50</v>
      </c>
      <c r="C18" s="19"/>
      <c r="D18" s="19"/>
      <c r="E18" s="19"/>
      <c r="F18" s="18" t="s">
        <v>32</v>
      </c>
      <c r="G18" s="19"/>
      <c r="H18" s="19"/>
      <c r="I18" s="18" t="s">
        <v>41</v>
      </c>
      <c r="J18" s="19"/>
      <c r="K18" s="19"/>
      <c r="L18" s="19"/>
      <c r="P18" s="16"/>
    </row>
    <row r="19" spans="1:27" s="15" customFormat="1" ht="20.100000000000001" customHeight="1" x14ac:dyDescent="0.2">
      <c r="B19" s="18" t="s">
        <v>23</v>
      </c>
      <c r="C19" s="19"/>
      <c r="D19" s="19"/>
      <c r="E19" s="19"/>
      <c r="F19" s="18" t="s">
        <v>33</v>
      </c>
      <c r="G19" s="19"/>
      <c r="H19" s="19"/>
      <c r="I19" s="18" t="s">
        <v>56</v>
      </c>
      <c r="J19" s="19"/>
      <c r="K19" s="19"/>
      <c r="L19" s="19"/>
      <c r="P19" s="16"/>
    </row>
    <row r="20" spans="1:27" s="15" customFormat="1" ht="20.100000000000001" customHeight="1" x14ac:dyDescent="0.2">
      <c r="B20" s="18" t="s">
        <v>24</v>
      </c>
      <c r="C20" s="19"/>
      <c r="D20" s="19"/>
      <c r="E20" s="19"/>
      <c r="F20" s="18" t="s">
        <v>34</v>
      </c>
      <c r="G20" s="19"/>
      <c r="H20" s="19"/>
      <c r="I20" s="18" t="s">
        <v>42</v>
      </c>
      <c r="J20" s="19"/>
      <c r="K20" s="19"/>
      <c r="L20" s="19"/>
      <c r="P20" s="16"/>
    </row>
    <row r="21" spans="1:27" s="15" customFormat="1" ht="20.100000000000001" customHeight="1" x14ac:dyDescent="0.2">
      <c r="B21" s="18" t="s">
        <v>25</v>
      </c>
      <c r="C21" s="19"/>
      <c r="D21" s="19"/>
      <c r="E21" s="19"/>
      <c r="F21" s="18"/>
      <c r="G21" s="19"/>
      <c r="H21" s="19"/>
      <c r="I21" s="18"/>
      <c r="J21" s="19"/>
      <c r="K21" s="19"/>
      <c r="L21" s="19"/>
      <c r="P21" s="16"/>
    </row>
    <row r="22" spans="1:27" s="15" customFormat="1" x14ac:dyDescent="0.2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P22" s="16"/>
    </row>
    <row r="23" spans="1:27" s="30" customFormat="1" ht="30" customHeight="1" x14ac:dyDescent="0.25">
      <c r="A23" s="25"/>
      <c r="B23" s="82" t="s">
        <v>62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25"/>
      <c r="N23" s="25"/>
      <c r="O23" s="25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s="24" customFormat="1" ht="13.5" customHeight="1" x14ac:dyDescent="0.2">
      <c r="A24" s="20"/>
      <c r="B24" s="21" t="s">
        <v>74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0"/>
      <c r="N24" s="20"/>
      <c r="O24" s="20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s="15" customFormat="1" x14ac:dyDescent="0.2">
      <c r="P25" s="16"/>
    </row>
    <row r="26" spans="1:27" s="10" customFormat="1" ht="43.5" customHeight="1" x14ac:dyDescent="0.2">
      <c r="A26" s="81" t="s">
        <v>44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s="10" customFormat="1" ht="108" customHeight="1" x14ac:dyDescent="0.2">
      <c r="A27" s="80" t="s">
        <v>59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13"/>
      <c r="R27" s="12"/>
      <c r="S27" s="12"/>
      <c r="T27" s="12"/>
      <c r="U27" s="12"/>
      <c r="V27" s="12"/>
      <c r="W27" s="12"/>
      <c r="X27" s="12"/>
      <c r="Y27" s="12"/>
      <c r="Z27" s="12"/>
      <c r="AA27" s="12"/>
    </row>
  </sheetData>
  <mergeCells count="4">
    <mergeCell ref="A1:P1"/>
    <mergeCell ref="A27:P27"/>
    <mergeCell ref="A26:P26"/>
    <mergeCell ref="B23:L23"/>
  </mergeCells>
  <hyperlinks>
    <hyperlink ref="B12" location="ACV!A1" display="ANGIOLOGÍA Y CIRUGÍA VASCULAR" xr:uid="{00000000-0004-0000-0000-000000000000}"/>
    <hyperlink ref="B10" location="ALG!A1" display="ALERGOLOGÍA" xr:uid="{00000000-0004-0000-0000-000001000000}"/>
    <hyperlink ref="B11" location="ANR!A1" display="ANESTESIA Y REANIMACIÓN" xr:uid="{00000000-0004-0000-0000-000002000000}"/>
    <hyperlink ref="B13" location="CAR!A1" display="CARDIOLOGÍA" xr:uid="{00000000-0004-0000-0000-000003000000}"/>
    <hyperlink ref="B14" location="CCA!A1" display="CIRUGÍA CARDÍACA" xr:uid="{00000000-0004-0000-0000-000004000000}"/>
    <hyperlink ref="B15" location="CGD!A1" display="CIRUGÍA GENERAL Y DIGESTIVA" xr:uid="{00000000-0004-0000-0000-000005000000}"/>
    <hyperlink ref="B16" location="CMF!A1" display="CIRUGÍA MAXILOFACIAL" xr:uid="{00000000-0004-0000-0000-000006000000}"/>
    <hyperlink ref="B17" location="CPE!A1" display="CIRUGÍA PEDIÁTRICA" xr:uid="{00000000-0004-0000-0000-000007000000}"/>
    <hyperlink ref="B18" location="CPL!A1" display="CIRUGÍA PLÁSTICA Y REPARADORA" xr:uid="{00000000-0004-0000-0000-000008000000}"/>
    <hyperlink ref="B19" location="CTO!A1" display="CIRUGÍA TORÁCICA" xr:uid="{00000000-0004-0000-0000-000009000000}"/>
    <hyperlink ref="B20" location="DER!A1" display="DERMATOLOGÍA" xr:uid="{00000000-0004-0000-0000-00000A000000}"/>
    <hyperlink ref="F15" location="MPR!A1" display="MEDICINA PREVENTIVA" xr:uid="{00000000-0004-0000-0000-00000F000000}"/>
    <hyperlink ref="F16" location="NEF!A1" display="NEFROLOGÍA" xr:uid="{00000000-0004-0000-0000-000010000000}"/>
    <hyperlink ref="F18" location="NML!A1" display="NEUMOLOGÍA" xr:uid="{00000000-0004-0000-0000-000011000000}"/>
    <hyperlink ref="F19" location="NRC!A1" display="NEUROCIRUGÍA" xr:uid="{00000000-0004-0000-0000-000012000000}"/>
    <hyperlink ref="F20" location="NRL!A1" display="NEUROLOGÍA" xr:uid="{00000000-0004-0000-0000-000013000000}"/>
    <hyperlink ref="F17" location="NFL!A1" display="NEUROFISIOLOGÍA CLÍNICA" xr:uid="{00000000-0004-0000-0000-000015000000}"/>
    <hyperlink ref="I10" location="OBS!A1" display="ODSTETRICIA Y GINECOLOGÍA" xr:uid="{00000000-0004-0000-0000-000016000000}"/>
    <hyperlink ref="I11" location="OFT!A1" display="OFTALMOLOGÍA" xr:uid="{00000000-0004-0000-0000-000017000000}"/>
    <hyperlink ref="I12" location="ONC!A1" display="ONCOLOGÍA MÉDICA" xr:uid="{00000000-0004-0000-0000-000018000000}"/>
    <hyperlink ref="I13" location="ONR!A1" display="ONCOLOGÍA RADIOTERÁPICA" xr:uid="{00000000-0004-0000-0000-000019000000}"/>
    <hyperlink ref="I14" location="ORL!A1" display="OTORRINOLARINGOLOGÍA" xr:uid="{00000000-0004-0000-0000-00001A000000}"/>
    <hyperlink ref="I15" location="PED!A1" display="PEDIATRÍA" xr:uid="{00000000-0004-0000-0000-00001B000000}"/>
    <hyperlink ref="I16" location="PSQ!A1" display="PSIQUIATRÍA" xr:uid="{00000000-0004-0000-0000-00001C000000}"/>
    <hyperlink ref="I17" location="REH!A1" display="REHABILITACIÓN" xr:uid="{00000000-0004-0000-0000-00001D000000}"/>
    <hyperlink ref="I18" location="REU!A1" display="REUMATOLOGÍA" xr:uid="{00000000-0004-0000-0000-00001E000000}"/>
    <hyperlink ref="I19" location="TRA!A1" display="TRAUMATOLOGÍA Y C. ORTOPÉDICA" xr:uid="{00000000-0004-0000-0000-00001F000000}"/>
    <hyperlink ref="I20" location="URO!A1" display="UROLOGÍA" xr:uid="{00000000-0004-0000-0000-000020000000}"/>
    <hyperlink ref="B23" location="Pendientes!A1" display="Primeras Consultas registradas pendiente de cita : distribución por servicio y Hospital" xr:uid="{00000000-0004-0000-0000-000021000000}"/>
    <hyperlink ref="B21" location="DIG!A1" display="DIGESTIVO" xr:uid="{7636691E-AB6C-4D0F-A021-8A5630DEA6F3}"/>
    <hyperlink ref="F10" location="END!A1" display="ENDOCRINOLOGÍA" xr:uid="{3F464E2E-B209-48E1-A0B5-7B2846C4D39B}"/>
    <hyperlink ref="F11" location="GRT!A1" display="GERIATRÍA" xr:uid="{A99DAC24-67AF-4083-BE17-E4D86BB64590}"/>
    <hyperlink ref="F13" location="HEM!A1" display="HEMATOLOGÍA" xr:uid="{3A7AF048-F513-4EAD-ACDC-B05F7F131E1B}"/>
    <hyperlink ref="F14" location="MIR!A1" display="MEDICINA INTERNA" xr:uid="{D41A2D71-2E9E-4FCB-9D9B-6B5B3E77550C}"/>
    <hyperlink ref="F12" location="GIN!A1" display="GINECOLOGÍA" xr:uid="{F97F1655-A5EA-40E3-8F90-FB9882F2D2CE}"/>
  </hyperlinks>
  <pageMargins left="0.25" right="0.25" top="0.75" bottom="0.75" header="0.3" footer="0.3"/>
  <pageSetup paperSize="9"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45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0" t="s">
        <v>15</v>
      </c>
      <c r="B3" s="2">
        <v>116</v>
      </c>
      <c r="C3" s="2">
        <v>1085</v>
      </c>
      <c r="D3" s="2" t="s">
        <v>68</v>
      </c>
      <c r="E3" s="2" t="s">
        <v>68</v>
      </c>
      <c r="F3" s="2">
        <v>115</v>
      </c>
      <c r="G3" s="2">
        <v>198</v>
      </c>
      <c r="H3" s="2">
        <v>287</v>
      </c>
      <c r="I3" s="2">
        <v>269</v>
      </c>
      <c r="J3" s="2">
        <v>408</v>
      </c>
      <c r="K3" s="2">
        <v>75</v>
      </c>
      <c r="L3" s="2">
        <v>1241</v>
      </c>
      <c r="M3" s="2" t="s">
        <v>68</v>
      </c>
      <c r="N3" s="2" t="s">
        <v>68</v>
      </c>
      <c r="O3" s="2">
        <v>375</v>
      </c>
      <c r="P3" s="3">
        <v>4169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1" t="s">
        <v>16</v>
      </c>
      <c r="B4" s="5">
        <v>0.27586206896551724</v>
      </c>
      <c r="C4" s="5">
        <v>0.86267281105990778</v>
      </c>
      <c r="D4" s="5" t="s">
        <v>68</v>
      </c>
      <c r="E4" s="5" t="s">
        <v>68</v>
      </c>
      <c r="F4" s="5">
        <v>0.85217391304347823</v>
      </c>
      <c r="G4" s="5">
        <v>0.6262626262626263</v>
      </c>
      <c r="H4" s="5">
        <v>0.6759581881533101</v>
      </c>
      <c r="I4" s="5" t="s">
        <v>68</v>
      </c>
      <c r="J4" s="5">
        <v>0.65931372549019607</v>
      </c>
      <c r="K4" s="5">
        <v>0.65333333333333332</v>
      </c>
      <c r="L4" s="5">
        <v>0.77195809830781625</v>
      </c>
      <c r="M4" s="5" t="s">
        <v>68</v>
      </c>
      <c r="N4" s="5" t="s">
        <v>68</v>
      </c>
      <c r="O4" s="5">
        <v>0.63200000000000001</v>
      </c>
      <c r="P4" s="6">
        <v>0.69489086111777409</v>
      </c>
    </row>
    <row r="5" spans="1:43" ht="25.5" x14ac:dyDescent="0.2">
      <c r="A5" s="42" t="s">
        <v>17</v>
      </c>
      <c r="B5" s="7">
        <v>14.46875</v>
      </c>
      <c r="C5" s="7">
        <v>32.024572649572647</v>
      </c>
      <c r="D5" s="7" t="s">
        <v>68</v>
      </c>
      <c r="E5" s="7" t="s">
        <v>68</v>
      </c>
      <c r="F5" s="7">
        <v>12.63265306122449</v>
      </c>
      <c r="G5" s="7">
        <v>14.661290322580646</v>
      </c>
      <c r="H5" s="7">
        <v>19.36082474226804</v>
      </c>
      <c r="I5" s="7" t="s">
        <v>68</v>
      </c>
      <c r="J5" s="7">
        <v>46.6728624535316</v>
      </c>
      <c r="K5" s="7">
        <v>14.714285714285714</v>
      </c>
      <c r="L5" s="7">
        <v>19.522964509394573</v>
      </c>
      <c r="M5" s="7" t="s">
        <v>68</v>
      </c>
      <c r="N5" s="7" t="s">
        <v>68</v>
      </c>
      <c r="O5" s="7">
        <v>23.510548523206751</v>
      </c>
      <c r="P5" s="8">
        <v>25.82015878494995</v>
      </c>
    </row>
    <row r="6" spans="1:43" ht="15.75" x14ac:dyDescent="0.25"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46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380</v>
      </c>
      <c r="C3" s="2">
        <v>1702</v>
      </c>
      <c r="D3" s="2">
        <v>264</v>
      </c>
      <c r="E3" s="2">
        <v>251</v>
      </c>
      <c r="F3" s="2">
        <v>495</v>
      </c>
      <c r="G3" s="2">
        <v>255</v>
      </c>
      <c r="H3" s="2">
        <v>374</v>
      </c>
      <c r="I3" s="2">
        <v>166</v>
      </c>
      <c r="J3" s="2">
        <v>1035</v>
      </c>
      <c r="K3" s="2">
        <v>39</v>
      </c>
      <c r="L3" s="2">
        <v>817</v>
      </c>
      <c r="M3" s="2">
        <v>154</v>
      </c>
      <c r="N3" s="2">
        <v>674</v>
      </c>
      <c r="O3" s="2">
        <v>339</v>
      </c>
      <c r="P3" s="3">
        <v>6945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0.15526315789473685</v>
      </c>
      <c r="C4" s="5">
        <v>0.28789659224441833</v>
      </c>
      <c r="D4" s="5">
        <v>0.14015151515151514</v>
      </c>
      <c r="E4" s="5">
        <v>0.93625498007968122</v>
      </c>
      <c r="F4" s="5">
        <v>0.77575757575757576</v>
      </c>
      <c r="G4" s="5">
        <v>1.5686274509803921E-2</v>
      </c>
      <c r="H4" s="5">
        <v>0.59893048128342241</v>
      </c>
      <c r="I4" s="5">
        <v>6.024096385542169E-3</v>
      </c>
      <c r="J4" s="5">
        <v>0.95458937198067628</v>
      </c>
      <c r="K4" s="5">
        <v>5.128205128205128E-2</v>
      </c>
      <c r="L4" s="5">
        <v>9.9143206854345162E-2</v>
      </c>
      <c r="M4" s="5">
        <v>0.32467532467532467</v>
      </c>
      <c r="N4" s="5">
        <v>0.74925816023738867</v>
      </c>
      <c r="O4" s="5">
        <v>0.86430678466076694</v>
      </c>
      <c r="P4" s="6">
        <v>0.48279337652987758</v>
      </c>
    </row>
    <row r="5" spans="1:43" ht="25.5" x14ac:dyDescent="0.2">
      <c r="A5" s="45" t="s">
        <v>17</v>
      </c>
      <c r="B5" s="7">
        <v>5.7627118644067794</v>
      </c>
      <c r="C5" s="7">
        <v>87.867346938775512</v>
      </c>
      <c r="D5" s="7">
        <v>34.945945945945944</v>
      </c>
      <c r="E5" s="7">
        <v>27.863829787234042</v>
      </c>
      <c r="F5" s="7">
        <v>58.247395833333336</v>
      </c>
      <c r="G5" s="7">
        <v>1.75</v>
      </c>
      <c r="H5" s="7">
        <v>8.4508928571428577</v>
      </c>
      <c r="I5" s="7">
        <v>7</v>
      </c>
      <c r="J5" s="7">
        <v>68.691295546558706</v>
      </c>
      <c r="K5" s="7">
        <v>1</v>
      </c>
      <c r="L5" s="7">
        <v>10.777777777777779</v>
      </c>
      <c r="M5" s="7">
        <v>6.8</v>
      </c>
      <c r="N5" s="7">
        <v>10.653465346534654</v>
      </c>
      <c r="O5" s="7">
        <v>5.8191126279863479</v>
      </c>
      <c r="P5" s="8">
        <v>45.236206382344172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18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>
        <v>915</v>
      </c>
      <c r="D3" s="2" t="s">
        <v>68</v>
      </c>
      <c r="E3" s="2" t="s">
        <v>68</v>
      </c>
      <c r="F3" s="2" t="s">
        <v>68</v>
      </c>
      <c r="G3" s="2">
        <v>485</v>
      </c>
      <c r="H3" s="2" t="s">
        <v>68</v>
      </c>
      <c r="I3" s="2">
        <v>469</v>
      </c>
      <c r="J3" s="2" t="s">
        <v>68</v>
      </c>
      <c r="K3" s="2" t="s">
        <v>68</v>
      </c>
      <c r="L3" s="2" t="s">
        <v>68</v>
      </c>
      <c r="M3" s="2" t="s">
        <v>68</v>
      </c>
      <c r="N3" s="2">
        <v>1788</v>
      </c>
      <c r="O3" s="2" t="s">
        <v>68</v>
      </c>
      <c r="P3" s="3">
        <v>3657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>
        <v>0.58360655737704914</v>
      </c>
      <c r="D4" s="5" t="s">
        <v>68</v>
      </c>
      <c r="E4" s="5" t="s">
        <v>68</v>
      </c>
      <c r="F4" s="5" t="s">
        <v>68</v>
      </c>
      <c r="G4" s="5">
        <v>0.74432989690721651</v>
      </c>
      <c r="H4" s="5" t="s">
        <v>68</v>
      </c>
      <c r="I4" s="5">
        <v>0.81023454157782515</v>
      </c>
      <c r="J4" s="5" t="s">
        <v>68</v>
      </c>
      <c r="K4" s="5" t="s">
        <v>68</v>
      </c>
      <c r="L4" s="5" t="s">
        <v>68</v>
      </c>
      <c r="M4" s="5" t="s">
        <v>68</v>
      </c>
      <c r="N4" s="5">
        <v>0.7354586129753915</v>
      </c>
      <c r="O4" s="5" t="s">
        <v>68</v>
      </c>
      <c r="P4" s="6">
        <v>0.70823079026524471</v>
      </c>
    </row>
    <row r="5" spans="1:43" ht="25.5" x14ac:dyDescent="0.2">
      <c r="A5" s="45" t="s">
        <v>17</v>
      </c>
      <c r="B5" s="7" t="s">
        <v>68</v>
      </c>
      <c r="C5" s="7">
        <v>38.992509363295881</v>
      </c>
      <c r="D5" s="7" t="s">
        <v>68</v>
      </c>
      <c r="E5" s="7" t="s">
        <v>68</v>
      </c>
      <c r="F5" s="7" t="s">
        <v>68</v>
      </c>
      <c r="G5" s="7">
        <v>30.831024930747922</v>
      </c>
      <c r="H5" s="7" t="s">
        <v>68</v>
      </c>
      <c r="I5" s="7">
        <v>158.92631578947368</v>
      </c>
      <c r="J5" s="7" t="s">
        <v>68</v>
      </c>
      <c r="K5" s="7" t="s">
        <v>68</v>
      </c>
      <c r="L5" s="7" t="s">
        <v>68</v>
      </c>
      <c r="M5" s="7" t="s">
        <v>68</v>
      </c>
      <c r="N5" s="7">
        <v>45.539923954372625</v>
      </c>
      <c r="O5" s="7" t="s">
        <v>68</v>
      </c>
      <c r="P5" s="8">
        <v>58.775675675675679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19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602</v>
      </c>
      <c r="C3" s="2">
        <v>854</v>
      </c>
      <c r="D3" s="2">
        <v>58</v>
      </c>
      <c r="E3" s="2">
        <v>196</v>
      </c>
      <c r="F3" s="2">
        <v>18</v>
      </c>
      <c r="G3" s="2">
        <v>855</v>
      </c>
      <c r="H3" s="2">
        <v>556</v>
      </c>
      <c r="I3" s="2">
        <v>903</v>
      </c>
      <c r="J3" s="2">
        <v>425</v>
      </c>
      <c r="K3" s="2">
        <v>426</v>
      </c>
      <c r="L3" s="2">
        <v>931</v>
      </c>
      <c r="M3" s="2">
        <v>24</v>
      </c>
      <c r="N3" s="2">
        <v>624</v>
      </c>
      <c r="O3" s="2">
        <v>121</v>
      </c>
      <c r="P3" s="3">
        <v>6593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0.80730897009966773</v>
      </c>
      <c r="C4" s="5">
        <v>0.85831381733021073</v>
      </c>
      <c r="D4" s="5">
        <v>3.4482758620689655E-2</v>
      </c>
      <c r="E4" s="5">
        <v>0.83673469387755106</v>
      </c>
      <c r="F4" s="5">
        <v>0.88888888888888884</v>
      </c>
      <c r="G4" s="5">
        <v>0.52046783625730997</v>
      </c>
      <c r="H4" s="5">
        <v>0.65467625899280579</v>
      </c>
      <c r="I4" s="5">
        <v>0.59579180509413066</v>
      </c>
      <c r="J4" s="5">
        <v>0.9882352941176471</v>
      </c>
      <c r="K4" s="5">
        <v>0.97887323943661975</v>
      </c>
      <c r="L4" s="5">
        <v>0.90332975295381313</v>
      </c>
      <c r="M4" s="5">
        <v>0.58333333333333337</v>
      </c>
      <c r="N4" s="5">
        <v>0.55769230769230771</v>
      </c>
      <c r="O4" s="5">
        <v>0.95867768595041325</v>
      </c>
      <c r="P4" s="6">
        <v>0.74381920218413466</v>
      </c>
    </row>
    <row r="5" spans="1:43" ht="25.5" x14ac:dyDescent="0.2">
      <c r="A5" s="45" t="s">
        <v>17</v>
      </c>
      <c r="B5" s="7">
        <v>64.259259259259252</v>
      </c>
      <c r="C5" s="7">
        <v>49.323328785811732</v>
      </c>
      <c r="D5" s="7">
        <v>1</v>
      </c>
      <c r="E5" s="7">
        <v>39.347560975609753</v>
      </c>
      <c r="F5" s="7">
        <v>44</v>
      </c>
      <c r="G5" s="7">
        <v>32.656179775280897</v>
      </c>
      <c r="H5" s="7">
        <v>27.348901098901099</v>
      </c>
      <c r="I5" s="7">
        <v>32.892193308550183</v>
      </c>
      <c r="J5" s="7">
        <v>128.99047619047619</v>
      </c>
      <c r="K5" s="7">
        <v>104.54436450839329</v>
      </c>
      <c r="L5" s="7">
        <v>44.204518430439954</v>
      </c>
      <c r="M5" s="7">
        <v>86.428571428571431</v>
      </c>
      <c r="N5" s="7">
        <v>22.373563218390803</v>
      </c>
      <c r="O5" s="7">
        <v>8.887931034482758</v>
      </c>
      <c r="P5" s="8">
        <v>53.364600326264274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 t="s">
        <v>68</v>
      </c>
      <c r="D3" s="2" t="s">
        <v>68</v>
      </c>
      <c r="E3" s="2" t="s">
        <v>68</v>
      </c>
      <c r="F3" s="2" t="s">
        <v>68</v>
      </c>
      <c r="G3" s="2">
        <v>22</v>
      </c>
      <c r="H3" s="2" t="s">
        <v>68</v>
      </c>
      <c r="I3" s="69">
        <v>1</v>
      </c>
      <c r="J3" s="2" t="s">
        <v>68</v>
      </c>
      <c r="K3" s="2" t="s">
        <v>68</v>
      </c>
      <c r="L3" s="2" t="s">
        <v>68</v>
      </c>
      <c r="M3" s="2" t="s">
        <v>68</v>
      </c>
      <c r="N3" s="2">
        <v>8</v>
      </c>
      <c r="O3" s="2" t="s">
        <v>68</v>
      </c>
      <c r="P3" s="3">
        <v>31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 t="s">
        <v>68</v>
      </c>
      <c r="D4" s="5" t="s">
        <v>68</v>
      </c>
      <c r="E4" s="5" t="s">
        <v>68</v>
      </c>
      <c r="F4" s="5" t="s">
        <v>68</v>
      </c>
      <c r="G4" s="5">
        <v>0.54545454545454541</v>
      </c>
      <c r="H4" s="5" t="s">
        <v>68</v>
      </c>
      <c r="I4" s="70" t="s">
        <v>68</v>
      </c>
      <c r="J4" s="5" t="s">
        <v>68</v>
      </c>
      <c r="K4" s="5" t="s">
        <v>68</v>
      </c>
      <c r="L4" s="5" t="s">
        <v>68</v>
      </c>
      <c r="M4" s="5" t="s">
        <v>68</v>
      </c>
      <c r="N4" s="5">
        <v>0.5</v>
      </c>
      <c r="O4" s="5" t="s">
        <v>68</v>
      </c>
      <c r="P4" s="6">
        <v>0.5161290322580645</v>
      </c>
    </row>
    <row r="5" spans="1:43" ht="25.5" x14ac:dyDescent="0.2">
      <c r="A5" s="45" t="s">
        <v>17</v>
      </c>
      <c r="B5" s="7" t="s">
        <v>68</v>
      </c>
      <c r="C5" s="7" t="s">
        <v>68</v>
      </c>
      <c r="D5" s="7" t="s">
        <v>68</v>
      </c>
      <c r="E5" s="7" t="s">
        <v>68</v>
      </c>
      <c r="F5" s="7" t="s">
        <v>68</v>
      </c>
      <c r="G5" s="7">
        <v>11.416666666666666</v>
      </c>
      <c r="H5" s="7" t="s">
        <v>68</v>
      </c>
      <c r="I5" s="71" t="s">
        <v>68</v>
      </c>
      <c r="J5" s="7" t="s">
        <v>68</v>
      </c>
      <c r="K5" s="7" t="s">
        <v>68</v>
      </c>
      <c r="L5" s="7" t="s">
        <v>68</v>
      </c>
      <c r="M5" s="7" t="s">
        <v>68</v>
      </c>
      <c r="N5" s="7">
        <v>8.5</v>
      </c>
      <c r="O5" s="7" t="s">
        <v>68</v>
      </c>
      <c r="P5" s="8">
        <v>10.6875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48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436</v>
      </c>
      <c r="C3" s="2">
        <v>1127</v>
      </c>
      <c r="D3" s="2">
        <v>33</v>
      </c>
      <c r="E3" s="2">
        <v>88</v>
      </c>
      <c r="F3" s="2">
        <v>98</v>
      </c>
      <c r="G3" s="2">
        <v>275</v>
      </c>
      <c r="H3" s="2">
        <v>161</v>
      </c>
      <c r="I3" s="2">
        <v>650</v>
      </c>
      <c r="J3" s="2">
        <v>261</v>
      </c>
      <c r="K3" s="2">
        <v>131</v>
      </c>
      <c r="L3" s="2">
        <v>781</v>
      </c>
      <c r="M3" s="2">
        <v>43</v>
      </c>
      <c r="N3" s="2">
        <v>232</v>
      </c>
      <c r="O3" s="2">
        <v>238</v>
      </c>
      <c r="P3" s="3">
        <v>4554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0.7178899082568807</v>
      </c>
      <c r="C4" s="5">
        <v>0.90062111801242239</v>
      </c>
      <c r="D4" s="5">
        <v>0.27272727272727271</v>
      </c>
      <c r="E4" s="5">
        <v>0.80681818181818177</v>
      </c>
      <c r="F4" s="5">
        <v>0.86734693877551017</v>
      </c>
      <c r="G4" s="5">
        <v>0.26545454545454544</v>
      </c>
      <c r="H4" s="5">
        <v>0.38509316770186336</v>
      </c>
      <c r="I4" s="5">
        <v>0.88923076923076927</v>
      </c>
      <c r="J4" s="5">
        <v>0.95402298850574707</v>
      </c>
      <c r="K4" s="5">
        <v>0.90839694656488545</v>
      </c>
      <c r="L4" s="5">
        <v>0.87708066581306021</v>
      </c>
      <c r="M4" s="5">
        <v>0.34883720930232559</v>
      </c>
      <c r="N4" s="5">
        <v>0.625</v>
      </c>
      <c r="O4" s="5">
        <v>0.95798319327731096</v>
      </c>
      <c r="P4" s="6">
        <v>0.80083443126921383</v>
      </c>
    </row>
    <row r="5" spans="1:43" ht="25.5" x14ac:dyDescent="0.2">
      <c r="A5" s="45" t="s">
        <v>17</v>
      </c>
      <c r="B5" s="7">
        <v>26.051118210862619</v>
      </c>
      <c r="C5" s="7">
        <v>53.638423645320195</v>
      </c>
      <c r="D5" s="7">
        <v>5</v>
      </c>
      <c r="E5" s="7">
        <v>8.8450704225352119</v>
      </c>
      <c r="F5" s="7">
        <v>35.741176470588236</v>
      </c>
      <c r="G5" s="7">
        <v>2.2328767123287672</v>
      </c>
      <c r="H5" s="7">
        <v>5.4838709677419351</v>
      </c>
      <c r="I5" s="7">
        <v>42.892733564013838</v>
      </c>
      <c r="J5" s="7">
        <v>15.811244979919678</v>
      </c>
      <c r="K5" s="7">
        <v>15.932773109243698</v>
      </c>
      <c r="L5" s="7">
        <v>26.481751824817518</v>
      </c>
      <c r="M5" s="7">
        <v>36.466666666666669</v>
      </c>
      <c r="N5" s="7">
        <v>9.8551724137931043</v>
      </c>
      <c r="O5" s="7">
        <v>16.969298245614034</v>
      </c>
      <c r="P5" s="8">
        <v>33.293391828900468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 t="s">
        <v>68</v>
      </c>
      <c r="D3" s="2" t="s">
        <v>68</v>
      </c>
      <c r="E3" s="2" t="s">
        <v>68</v>
      </c>
      <c r="F3" s="2" t="s">
        <v>68</v>
      </c>
      <c r="G3" s="2">
        <v>458</v>
      </c>
      <c r="H3" s="2" t="s">
        <v>68</v>
      </c>
      <c r="I3" s="2">
        <v>161</v>
      </c>
      <c r="J3" s="2" t="s">
        <v>68</v>
      </c>
      <c r="K3" s="2" t="s">
        <v>68</v>
      </c>
      <c r="L3" s="2">
        <v>458</v>
      </c>
      <c r="M3" s="2" t="s">
        <v>68</v>
      </c>
      <c r="N3" s="2" t="s">
        <v>68</v>
      </c>
      <c r="O3" s="2" t="s">
        <v>68</v>
      </c>
      <c r="P3" s="3">
        <v>1077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 t="s">
        <v>68</v>
      </c>
      <c r="D4" s="5" t="s">
        <v>68</v>
      </c>
      <c r="E4" s="5" t="s">
        <v>68</v>
      </c>
      <c r="F4" s="5" t="s">
        <v>68</v>
      </c>
      <c r="G4" s="5">
        <v>0.75327510917030571</v>
      </c>
      <c r="H4" s="5" t="s">
        <v>68</v>
      </c>
      <c r="I4" s="5">
        <v>0.7142857142857143</v>
      </c>
      <c r="J4" s="5" t="s">
        <v>68</v>
      </c>
      <c r="K4" s="5" t="s">
        <v>68</v>
      </c>
      <c r="L4" s="5">
        <v>0.68340611353711789</v>
      </c>
      <c r="M4" s="5" t="s">
        <v>68</v>
      </c>
      <c r="N4" s="5" t="s">
        <v>68</v>
      </c>
      <c r="O4" s="5" t="s">
        <v>68</v>
      </c>
      <c r="P4" s="6">
        <v>0.71773444753946147</v>
      </c>
    </row>
    <row r="5" spans="1:43" ht="25.5" x14ac:dyDescent="0.2">
      <c r="A5" s="45" t="s">
        <v>17</v>
      </c>
      <c r="B5" s="7" t="s">
        <v>68</v>
      </c>
      <c r="C5" s="7" t="s">
        <v>68</v>
      </c>
      <c r="D5" s="7" t="s">
        <v>68</v>
      </c>
      <c r="E5" s="7" t="s">
        <v>68</v>
      </c>
      <c r="F5" s="7" t="s">
        <v>68</v>
      </c>
      <c r="G5" s="7">
        <v>44.336231884057973</v>
      </c>
      <c r="H5" s="7" t="s">
        <v>68</v>
      </c>
      <c r="I5" s="7">
        <v>90.382608695652181</v>
      </c>
      <c r="J5" s="7" t="s">
        <v>68</v>
      </c>
      <c r="K5" s="7" t="s">
        <v>68</v>
      </c>
      <c r="L5" s="7">
        <v>27.498402555910545</v>
      </c>
      <c r="M5" s="7" t="s">
        <v>68</v>
      </c>
      <c r="N5" s="7" t="s">
        <v>68</v>
      </c>
      <c r="O5" s="7" t="s">
        <v>68</v>
      </c>
      <c r="P5" s="8">
        <v>44.368693402328589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>
        <v>42</v>
      </c>
      <c r="D3" s="2" t="s">
        <v>68</v>
      </c>
      <c r="E3" s="2" t="s">
        <v>68</v>
      </c>
      <c r="F3" s="2" t="s">
        <v>68</v>
      </c>
      <c r="G3" s="2">
        <v>86</v>
      </c>
      <c r="H3" s="2" t="s">
        <v>68</v>
      </c>
      <c r="I3" s="2">
        <v>90</v>
      </c>
      <c r="J3" s="2" t="s">
        <v>68</v>
      </c>
      <c r="K3" s="2" t="s">
        <v>68</v>
      </c>
      <c r="L3" s="2" t="s">
        <v>68</v>
      </c>
      <c r="M3" s="2" t="s">
        <v>68</v>
      </c>
      <c r="N3" s="2">
        <v>113</v>
      </c>
      <c r="O3" s="2" t="s">
        <v>68</v>
      </c>
      <c r="P3" s="3">
        <v>331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>
        <v>0.40476190476190477</v>
      </c>
      <c r="D4" s="5" t="s">
        <v>68</v>
      </c>
      <c r="E4" s="5" t="s">
        <v>68</v>
      </c>
      <c r="F4" s="5" t="s">
        <v>68</v>
      </c>
      <c r="G4" s="5">
        <v>0.58139534883720934</v>
      </c>
      <c r="H4" s="5" t="s">
        <v>68</v>
      </c>
      <c r="I4" s="5">
        <v>0.71111111111111114</v>
      </c>
      <c r="J4" s="5" t="s">
        <v>68</v>
      </c>
      <c r="K4" s="5" t="s">
        <v>68</v>
      </c>
      <c r="L4" s="5" t="s">
        <v>68</v>
      </c>
      <c r="M4" s="5" t="s">
        <v>68</v>
      </c>
      <c r="N4" s="5">
        <v>0.70796460176991149</v>
      </c>
      <c r="O4" s="5" t="s">
        <v>68</v>
      </c>
      <c r="P4" s="6">
        <v>0.63746223564954685</v>
      </c>
    </row>
    <row r="5" spans="1:43" ht="25.5" x14ac:dyDescent="0.2">
      <c r="A5" s="45" t="s">
        <v>17</v>
      </c>
      <c r="B5" s="7" t="s">
        <v>68</v>
      </c>
      <c r="C5" s="7">
        <v>4.4117647058823533</v>
      </c>
      <c r="D5" s="7" t="s">
        <v>68</v>
      </c>
      <c r="E5" s="7" t="s">
        <v>68</v>
      </c>
      <c r="F5" s="7" t="s">
        <v>68</v>
      </c>
      <c r="G5" s="7">
        <v>25.96</v>
      </c>
      <c r="H5" s="7" t="s">
        <v>68</v>
      </c>
      <c r="I5" s="7">
        <v>16.078125</v>
      </c>
      <c r="J5" s="7" t="s">
        <v>68</v>
      </c>
      <c r="K5" s="7" t="s">
        <v>68</v>
      </c>
      <c r="L5" s="7" t="s">
        <v>68</v>
      </c>
      <c r="M5" s="7" t="s">
        <v>68</v>
      </c>
      <c r="N5" s="7">
        <v>14.237500000000001</v>
      </c>
      <c r="O5" s="7" t="s">
        <v>68</v>
      </c>
      <c r="P5" s="8">
        <v>16.681081081081082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61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>
        <v>2728</v>
      </c>
      <c r="D3" s="2" t="s">
        <v>68</v>
      </c>
      <c r="E3" s="2" t="s">
        <v>68</v>
      </c>
      <c r="F3" s="2" t="s">
        <v>68</v>
      </c>
      <c r="G3" s="2">
        <v>245</v>
      </c>
      <c r="H3" s="2" t="s">
        <v>68</v>
      </c>
      <c r="I3" s="2">
        <v>90</v>
      </c>
      <c r="J3" s="2" t="s">
        <v>68</v>
      </c>
      <c r="K3" s="2" t="s">
        <v>68</v>
      </c>
      <c r="L3" s="2">
        <v>89</v>
      </c>
      <c r="M3" s="2" t="s">
        <v>68</v>
      </c>
      <c r="N3" s="2" t="s">
        <v>68</v>
      </c>
      <c r="O3" s="2" t="s">
        <v>68</v>
      </c>
      <c r="P3" s="3">
        <v>3152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42.75" customHeight="1" x14ac:dyDescent="0.2">
      <c r="A4" s="44" t="s">
        <v>16</v>
      </c>
      <c r="B4" s="5" t="s">
        <v>68</v>
      </c>
      <c r="C4" s="5">
        <v>0.85447214076246336</v>
      </c>
      <c r="D4" s="5" t="s">
        <v>68</v>
      </c>
      <c r="E4" s="5" t="s">
        <v>68</v>
      </c>
      <c r="F4" s="5" t="s">
        <v>68</v>
      </c>
      <c r="G4" s="5">
        <v>0.54285714285714282</v>
      </c>
      <c r="H4" s="5" t="s">
        <v>68</v>
      </c>
      <c r="I4" s="5">
        <v>0.6333333333333333</v>
      </c>
      <c r="J4" s="5" t="s">
        <v>68</v>
      </c>
      <c r="K4" s="5" t="s">
        <v>68</v>
      </c>
      <c r="L4" s="5">
        <v>0.3146067415730337</v>
      </c>
      <c r="M4" s="5" t="s">
        <v>68</v>
      </c>
      <c r="N4" s="5" t="s">
        <v>68</v>
      </c>
      <c r="O4" s="5" t="s">
        <v>68</v>
      </c>
      <c r="P4" s="6">
        <v>0.80869289340101524</v>
      </c>
    </row>
    <row r="5" spans="1:43" ht="25.5" x14ac:dyDescent="0.2">
      <c r="A5" s="45" t="s">
        <v>17</v>
      </c>
      <c r="B5" s="7" t="s">
        <v>68</v>
      </c>
      <c r="C5" s="7">
        <v>133.06563706563708</v>
      </c>
      <c r="D5" s="7" t="s">
        <v>68</v>
      </c>
      <c r="E5" s="7" t="s">
        <v>68</v>
      </c>
      <c r="F5" s="7" t="s">
        <v>68</v>
      </c>
      <c r="G5" s="7">
        <v>32.736842105263158</v>
      </c>
      <c r="H5" s="7" t="s">
        <v>68</v>
      </c>
      <c r="I5" s="7">
        <v>14.43859649122807</v>
      </c>
      <c r="J5" s="7" t="s">
        <v>68</v>
      </c>
      <c r="K5" s="7" t="s">
        <v>68</v>
      </c>
      <c r="L5" s="7">
        <v>5.3928571428571432</v>
      </c>
      <c r="M5" s="7" t="s">
        <v>68</v>
      </c>
      <c r="N5" s="7" t="s">
        <v>68</v>
      </c>
      <c r="O5" s="7" t="s">
        <v>68</v>
      </c>
      <c r="P5" s="8">
        <v>123.77559827383287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 t="s">
        <v>68</v>
      </c>
      <c r="D3" s="2" t="s">
        <v>68</v>
      </c>
      <c r="E3" s="2" t="s">
        <v>68</v>
      </c>
      <c r="F3" s="2" t="s">
        <v>68</v>
      </c>
      <c r="G3" s="2" t="s">
        <v>68</v>
      </c>
      <c r="H3" s="2" t="s">
        <v>68</v>
      </c>
      <c r="I3" s="2">
        <v>1</v>
      </c>
      <c r="J3" s="2" t="s">
        <v>68</v>
      </c>
      <c r="K3" s="2" t="s">
        <v>68</v>
      </c>
      <c r="L3" s="2" t="s">
        <v>68</v>
      </c>
      <c r="M3" s="2" t="s">
        <v>68</v>
      </c>
      <c r="N3" s="2">
        <v>15</v>
      </c>
      <c r="O3" s="2" t="s">
        <v>68</v>
      </c>
      <c r="P3" s="3">
        <v>16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 t="s">
        <v>68</v>
      </c>
      <c r="D4" s="5" t="s">
        <v>68</v>
      </c>
      <c r="E4" s="5" t="s">
        <v>68</v>
      </c>
      <c r="F4" s="5" t="s">
        <v>68</v>
      </c>
      <c r="G4" s="5" t="s">
        <v>68</v>
      </c>
      <c r="H4" s="5" t="s">
        <v>68</v>
      </c>
      <c r="I4" s="63" t="s">
        <v>68</v>
      </c>
      <c r="J4" s="5" t="s">
        <v>68</v>
      </c>
      <c r="K4" s="5" t="s">
        <v>68</v>
      </c>
      <c r="L4" s="5" t="s">
        <v>68</v>
      </c>
      <c r="M4" s="5" t="s">
        <v>68</v>
      </c>
      <c r="N4" s="5">
        <v>0.6</v>
      </c>
      <c r="O4" s="5" t="s">
        <v>68</v>
      </c>
      <c r="P4" s="6">
        <v>0.5625</v>
      </c>
    </row>
    <row r="5" spans="1:43" ht="25.5" x14ac:dyDescent="0.2">
      <c r="A5" s="45" t="s">
        <v>17</v>
      </c>
      <c r="B5" s="7" t="s">
        <v>68</v>
      </c>
      <c r="C5" s="7" t="s">
        <v>68</v>
      </c>
      <c r="D5" s="7" t="s">
        <v>68</v>
      </c>
      <c r="E5" s="7" t="s">
        <v>68</v>
      </c>
      <c r="F5" s="7" t="s">
        <v>68</v>
      </c>
      <c r="G5" s="7" t="s">
        <v>68</v>
      </c>
      <c r="H5" s="7" t="s">
        <v>68</v>
      </c>
      <c r="I5" s="64" t="s">
        <v>68</v>
      </c>
      <c r="J5" s="7" t="s">
        <v>68</v>
      </c>
      <c r="K5" s="7" t="s">
        <v>68</v>
      </c>
      <c r="L5" s="7" t="s">
        <v>68</v>
      </c>
      <c r="M5" s="7" t="s">
        <v>68</v>
      </c>
      <c r="N5" s="7">
        <v>4.5555555555555554</v>
      </c>
      <c r="O5" s="7" t="s">
        <v>68</v>
      </c>
      <c r="P5" s="8">
        <v>4.5555555555555554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Q5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824</v>
      </c>
      <c r="C3" s="2">
        <v>6428</v>
      </c>
      <c r="D3" s="2" t="s">
        <v>68</v>
      </c>
      <c r="E3" s="2">
        <v>1369</v>
      </c>
      <c r="F3" s="2">
        <v>24</v>
      </c>
      <c r="G3" s="2">
        <v>3783</v>
      </c>
      <c r="H3" s="2">
        <v>1837</v>
      </c>
      <c r="I3" s="2">
        <v>1729</v>
      </c>
      <c r="J3" s="2">
        <v>156</v>
      </c>
      <c r="K3" s="2">
        <v>442</v>
      </c>
      <c r="L3" s="2">
        <v>2100</v>
      </c>
      <c r="M3" s="2" t="s">
        <v>68</v>
      </c>
      <c r="N3" s="2">
        <v>1625</v>
      </c>
      <c r="O3" s="2">
        <v>1726</v>
      </c>
      <c r="P3" s="3">
        <v>22043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0.79611650485436891</v>
      </c>
      <c r="C4" s="5">
        <v>0.91210329807093959</v>
      </c>
      <c r="D4" s="5" t="s">
        <v>68</v>
      </c>
      <c r="E4" s="5">
        <v>0.95105916727538353</v>
      </c>
      <c r="F4" s="5">
        <v>0.5</v>
      </c>
      <c r="G4" s="5">
        <v>0.74068199841395721</v>
      </c>
      <c r="H4" s="5">
        <v>0.53456722917800759</v>
      </c>
      <c r="I4" s="5">
        <v>0.8351648351648352</v>
      </c>
      <c r="J4" s="5">
        <v>0.91025641025641024</v>
      </c>
      <c r="K4" s="5">
        <v>0.87782805429864252</v>
      </c>
      <c r="L4" s="5">
        <v>0.7857142857142857</v>
      </c>
      <c r="M4" s="5" t="s">
        <v>68</v>
      </c>
      <c r="N4" s="5">
        <v>0.6756923076923077</v>
      </c>
      <c r="O4" s="5">
        <v>0.86442641946697563</v>
      </c>
      <c r="P4" s="6">
        <v>0.80891893117996638</v>
      </c>
    </row>
    <row r="5" spans="1:43" ht="25.5" x14ac:dyDescent="0.2">
      <c r="A5" s="45" t="s">
        <v>17</v>
      </c>
      <c r="B5" s="7">
        <v>30.271341463414632</v>
      </c>
      <c r="C5" s="7">
        <v>117.10643015521065</v>
      </c>
      <c r="D5" s="7" t="s">
        <v>68</v>
      </c>
      <c r="E5" s="7">
        <v>96.888632872503834</v>
      </c>
      <c r="F5" s="7">
        <v>55</v>
      </c>
      <c r="G5" s="7">
        <v>51.147751605995715</v>
      </c>
      <c r="H5" s="7">
        <v>56.639511201629325</v>
      </c>
      <c r="I5" s="7">
        <v>41.066481994459835</v>
      </c>
      <c r="J5" s="7">
        <v>21.302816901408452</v>
      </c>
      <c r="K5" s="7">
        <v>31.371134020618555</v>
      </c>
      <c r="L5" s="7">
        <v>26.025454545454547</v>
      </c>
      <c r="M5" s="7" t="s">
        <v>68</v>
      </c>
      <c r="N5" s="7">
        <v>21.974499089253186</v>
      </c>
      <c r="O5" s="7">
        <v>33.961126005361933</v>
      </c>
      <c r="P5" s="8">
        <v>68.668891256799952</v>
      </c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311</v>
      </c>
      <c r="C3" s="2">
        <v>1142</v>
      </c>
      <c r="D3" s="2">
        <v>124</v>
      </c>
      <c r="E3" s="2">
        <v>353</v>
      </c>
      <c r="F3" s="2">
        <v>106</v>
      </c>
      <c r="G3" s="2">
        <v>1013</v>
      </c>
      <c r="H3" s="2">
        <v>378</v>
      </c>
      <c r="I3" s="2">
        <v>341</v>
      </c>
      <c r="J3" s="2">
        <v>219</v>
      </c>
      <c r="K3" s="2">
        <v>169</v>
      </c>
      <c r="L3" s="2">
        <v>709</v>
      </c>
      <c r="M3" s="2">
        <v>49</v>
      </c>
      <c r="N3" s="2">
        <v>488</v>
      </c>
      <c r="O3" s="2">
        <v>46</v>
      </c>
      <c r="P3" s="3">
        <v>5448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0.3536977491961415</v>
      </c>
      <c r="C4" s="5">
        <v>0.87828371278458839</v>
      </c>
      <c r="D4" s="5">
        <v>0.62096774193548387</v>
      </c>
      <c r="E4" s="5">
        <v>0.92351274787535409</v>
      </c>
      <c r="F4" s="5">
        <v>0.79245283018867929</v>
      </c>
      <c r="G4" s="5">
        <v>0.61303060217176708</v>
      </c>
      <c r="H4" s="5">
        <v>0.7142857142857143</v>
      </c>
      <c r="I4" s="5">
        <v>0.80058651026392957</v>
      </c>
      <c r="J4" s="5">
        <v>0.72146118721461183</v>
      </c>
      <c r="K4" s="5">
        <v>0.89349112426035504</v>
      </c>
      <c r="L4" s="5">
        <v>0.89139633286318753</v>
      </c>
      <c r="M4" s="5">
        <v>0.26530612244897961</v>
      </c>
      <c r="N4" s="5">
        <v>0.92418032786885251</v>
      </c>
      <c r="O4" s="5">
        <v>0.28260869565217389</v>
      </c>
      <c r="P4" s="6">
        <v>0.76762114537444937</v>
      </c>
    </row>
    <row r="5" spans="1:43" ht="25.5" x14ac:dyDescent="0.2">
      <c r="A5" s="45" t="s">
        <v>17</v>
      </c>
      <c r="B5" s="7">
        <v>23.563636363636363</v>
      </c>
      <c r="C5" s="7">
        <v>67.427716849451642</v>
      </c>
      <c r="D5" s="7">
        <v>31.727272727272727</v>
      </c>
      <c r="E5" s="7">
        <v>116.41411042944786</v>
      </c>
      <c r="F5" s="7">
        <v>142.28571428571428</v>
      </c>
      <c r="G5" s="7">
        <v>27.66988727858293</v>
      </c>
      <c r="H5" s="7">
        <v>19.529629629629628</v>
      </c>
      <c r="I5" s="7">
        <v>88.058608058608058</v>
      </c>
      <c r="J5" s="7">
        <v>23.582278481012658</v>
      </c>
      <c r="K5" s="7">
        <v>65.463576158940398</v>
      </c>
      <c r="L5" s="7">
        <v>35.530063291139243</v>
      </c>
      <c r="M5" s="7">
        <v>5.5384615384615383</v>
      </c>
      <c r="N5" s="7">
        <v>31.184035476718403</v>
      </c>
      <c r="O5" s="7">
        <v>15.538461538461538</v>
      </c>
      <c r="P5" s="8">
        <v>52.479196556671447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86</v>
      </c>
      <c r="C3" s="2">
        <v>708</v>
      </c>
      <c r="D3" s="2" t="s">
        <v>68</v>
      </c>
      <c r="E3" s="2" t="s">
        <v>68</v>
      </c>
      <c r="F3" s="2">
        <v>448</v>
      </c>
      <c r="G3" s="2">
        <v>680</v>
      </c>
      <c r="H3" s="2">
        <v>121</v>
      </c>
      <c r="I3" s="2">
        <v>448</v>
      </c>
      <c r="J3" s="2">
        <v>210</v>
      </c>
      <c r="K3" s="2">
        <v>323</v>
      </c>
      <c r="L3" s="2">
        <v>226</v>
      </c>
      <c r="M3" s="2" t="s">
        <v>68</v>
      </c>
      <c r="N3" s="2">
        <v>376</v>
      </c>
      <c r="O3" s="2">
        <v>421</v>
      </c>
      <c r="P3" s="3">
        <v>4047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0.62790697674418605</v>
      </c>
      <c r="C4" s="5">
        <v>0.76412429378531077</v>
      </c>
      <c r="D4" s="5" t="s">
        <v>68</v>
      </c>
      <c r="E4" s="5" t="s">
        <v>68</v>
      </c>
      <c r="F4" s="5">
        <v>0.8660714285714286</v>
      </c>
      <c r="G4" s="5">
        <v>0.45882352941176469</v>
      </c>
      <c r="H4" s="5">
        <v>0.48760330578512395</v>
      </c>
      <c r="I4" s="5">
        <v>0.3861607142857143</v>
      </c>
      <c r="J4" s="5">
        <v>0.88095238095238093</v>
      </c>
      <c r="K4" s="5">
        <v>0.88544891640866874</v>
      </c>
      <c r="L4" s="5">
        <v>0.41592920353982299</v>
      </c>
      <c r="M4" s="5" t="s">
        <v>68</v>
      </c>
      <c r="N4" s="5">
        <v>0.74468085106382975</v>
      </c>
      <c r="O4" s="5">
        <v>0.69121140142517812</v>
      </c>
      <c r="P4" s="6">
        <v>0.65801828514949345</v>
      </c>
    </row>
    <row r="5" spans="1:43" ht="25.5" x14ac:dyDescent="0.2">
      <c r="A5" s="45" t="s">
        <v>17</v>
      </c>
      <c r="B5" s="7">
        <v>4.6851851851851851</v>
      </c>
      <c r="C5" s="7">
        <v>39.931608133086876</v>
      </c>
      <c r="D5" s="7" t="s">
        <v>68</v>
      </c>
      <c r="E5" s="7" t="s">
        <v>68</v>
      </c>
      <c r="F5" s="7">
        <v>108.26030927835052</v>
      </c>
      <c r="G5" s="7">
        <v>44.333333333333336</v>
      </c>
      <c r="H5" s="7">
        <v>5.7796610169491522</v>
      </c>
      <c r="I5" s="7">
        <v>23</v>
      </c>
      <c r="J5" s="7">
        <v>25.972972972972972</v>
      </c>
      <c r="K5" s="7">
        <v>99.62587412587412</v>
      </c>
      <c r="L5" s="7">
        <v>8.287234042553191</v>
      </c>
      <c r="M5" s="7" t="s">
        <v>68</v>
      </c>
      <c r="N5" s="7">
        <v>13.725</v>
      </c>
      <c r="O5" s="7">
        <v>63.776632302405496</v>
      </c>
      <c r="P5" s="8">
        <v>52.006008261359369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 t="s">
        <v>68</v>
      </c>
      <c r="D3" s="2">
        <v>33</v>
      </c>
      <c r="E3" s="2" t="s">
        <v>68</v>
      </c>
      <c r="F3" s="2">
        <v>1</v>
      </c>
      <c r="G3" s="2">
        <v>195</v>
      </c>
      <c r="H3" s="2">
        <v>6</v>
      </c>
      <c r="I3" s="2" t="s">
        <v>68</v>
      </c>
      <c r="J3" s="2">
        <v>168</v>
      </c>
      <c r="K3" s="2">
        <v>2</v>
      </c>
      <c r="L3" s="2">
        <v>5</v>
      </c>
      <c r="M3" s="2">
        <v>10</v>
      </c>
      <c r="N3" s="2">
        <v>2</v>
      </c>
      <c r="O3" s="2" t="s">
        <v>68</v>
      </c>
      <c r="P3" s="3">
        <v>422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 t="s">
        <v>68</v>
      </c>
      <c r="D4" s="5">
        <v>0.81818181818181823</v>
      </c>
      <c r="E4" s="5" t="s">
        <v>68</v>
      </c>
      <c r="F4" s="5" t="s">
        <v>68</v>
      </c>
      <c r="G4" s="5">
        <v>0.80512820512820515</v>
      </c>
      <c r="H4" s="5" t="s">
        <v>68</v>
      </c>
      <c r="I4" s="5" t="s">
        <v>68</v>
      </c>
      <c r="J4" s="5">
        <v>0.74404761904761907</v>
      </c>
      <c r="K4" s="5" t="s">
        <v>68</v>
      </c>
      <c r="L4" s="5">
        <v>1</v>
      </c>
      <c r="M4" s="5" t="s">
        <v>68</v>
      </c>
      <c r="N4" s="5" t="s">
        <v>68</v>
      </c>
      <c r="O4" s="5" t="s">
        <v>68</v>
      </c>
      <c r="P4" s="6">
        <v>0.74407582938388628</v>
      </c>
    </row>
    <row r="5" spans="1:43" ht="25.5" x14ac:dyDescent="0.2">
      <c r="A5" s="45" t="s">
        <v>17</v>
      </c>
      <c r="B5" s="7" t="s">
        <v>68</v>
      </c>
      <c r="C5" s="7" t="s">
        <v>68</v>
      </c>
      <c r="D5" s="7">
        <v>27.925925925925927</v>
      </c>
      <c r="E5" s="7" t="s">
        <v>68</v>
      </c>
      <c r="F5" s="7" t="s">
        <v>68</v>
      </c>
      <c r="G5" s="7">
        <v>22.012738853503183</v>
      </c>
      <c r="H5" s="7" t="s">
        <v>68</v>
      </c>
      <c r="I5" s="7" t="s">
        <v>68</v>
      </c>
      <c r="J5" s="7">
        <v>166.92</v>
      </c>
      <c r="K5" s="7" t="s">
        <v>68</v>
      </c>
      <c r="L5" s="7">
        <v>14.4</v>
      </c>
      <c r="M5" s="7" t="s">
        <v>68</v>
      </c>
      <c r="N5" s="7" t="s">
        <v>68</v>
      </c>
      <c r="O5" s="7" t="s">
        <v>68</v>
      </c>
      <c r="P5" s="8">
        <v>80.085987261146499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Q12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796</v>
      </c>
      <c r="C3" s="2">
        <v>760</v>
      </c>
      <c r="D3" s="2">
        <v>189</v>
      </c>
      <c r="E3" s="2">
        <v>185</v>
      </c>
      <c r="F3" s="2">
        <v>156</v>
      </c>
      <c r="G3" s="2">
        <v>1271</v>
      </c>
      <c r="H3" s="2">
        <v>892</v>
      </c>
      <c r="I3" s="2">
        <v>822</v>
      </c>
      <c r="J3" s="2">
        <v>84</v>
      </c>
      <c r="K3" s="2">
        <v>599</v>
      </c>
      <c r="L3" s="2">
        <v>1009</v>
      </c>
      <c r="M3" s="2">
        <v>108</v>
      </c>
      <c r="N3" s="2">
        <v>1449</v>
      </c>
      <c r="O3" s="2">
        <v>273</v>
      </c>
      <c r="P3" s="3">
        <v>8593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0.71733668341708545</v>
      </c>
      <c r="C4" s="5">
        <v>0.54868421052631577</v>
      </c>
      <c r="D4" s="5">
        <v>0.78306878306878303</v>
      </c>
      <c r="E4" s="5">
        <v>0.57837837837837835</v>
      </c>
      <c r="F4" s="5">
        <v>0.74358974358974361</v>
      </c>
      <c r="G4" s="5">
        <v>0.55546813532651451</v>
      </c>
      <c r="H4" s="5">
        <v>0.28699551569506726</v>
      </c>
      <c r="I4" s="5">
        <v>0.53527980535279807</v>
      </c>
      <c r="J4" s="5">
        <v>0.7857142857142857</v>
      </c>
      <c r="K4" s="5">
        <v>0.97161936560934892</v>
      </c>
      <c r="L4" s="5">
        <v>0.69772051536174429</v>
      </c>
      <c r="M4" s="5">
        <v>0.71296296296296291</v>
      </c>
      <c r="N4" s="5">
        <v>0.82746721877156659</v>
      </c>
      <c r="O4" s="5">
        <v>0.63736263736263732</v>
      </c>
      <c r="P4" s="6">
        <v>0.64738740835563835</v>
      </c>
    </row>
    <row r="5" spans="1:43" ht="25.5" x14ac:dyDescent="0.2">
      <c r="A5" s="45" t="s">
        <v>17</v>
      </c>
      <c r="B5" s="7">
        <v>31.970227670753065</v>
      </c>
      <c r="C5" s="7">
        <v>13.712230215827338</v>
      </c>
      <c r="D5" s="7">
        <v>21.945945945945947</v>
      </c>
      <c r="E5" s="7">
        <v>17.084112149532711</v>
      </c>
      <c r="F5" s="7">
        <v>105.56034482758621</v>
      </c>
      <c r="G5" s="7">
        <v>36.195467422096314</v>
      </c>
      <c r="H5" s="7">
        <v>39.42578125</v>
      </c>
      <c r="I5" s="7">
        <v>16.140909090909091</v>
      </c>
      <c r="J5" s="7">
        <v>9.6060606060606055</v>
      </c>
      <c r="K5" s="7">
        <v>109.72680412371135</v>
      </c>
      <c r="L5" s="7">
        <v>28.444602272727273</v>
      </c>
      <c r="M5" s="7">
        <v>60.064935064935064</v>
      </c>
      <c r="N5" s="7">
        <v>60.672226855713092</v>
      </c>
      <c r="O5" s="7">
        <v>11.103448275862069</v>
      </c>
      <c r="P5" s="8">
        <v>44.556174725867336</v>
      </c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  <row r="12" spans="1:43" ht="15" x14ac:dyDescent="0.25">
      <c r="B12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29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34</v>
      </c>
      <c r="C3" s="2">
        <v>186</v>
      </c>
      <c r="D3" s="2">
        <v>8</v>
      </c>
      <c r="E3" s="2">
        <v>17</v>
      </c>
      <c r="F3" s="2">
        <v>137</v>
      </c>
      <c r="G3" s="2">
        <v>151</v>
      </c>
      <c r="H3" s="2">
        <v>34</v>
      </c>
      <c r="I3" s="2">
        <v>62</v>
      </c>
      <c r="J3" s="2">
        <v>115</v>
      </c>
      <c r="K3" s="2">
        <v>12</v>
      </c>
      <c r="L3" s="2">
        <v>69</v>
      </c>
      <c r="M3" s="2">
        <v>20</v>
      </c>
      <c r="N3" s="2">
        <v>123</v>
      </c>
      <c r="O3" s="2">
        <v>11</v>
      </c>
      <c r="P3" s="3">
        <v>979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0.58823529411764708</v>
      </c>
      <c r="C4" s="5">
        <v>0.40860215053763443</v>
      </c>
      <c r="D4" s="5" t="s">
        <v>68</v>
      </c>
      <c r="E4" s="5">
        <v>0.88235294117647056</v>
      </c>
      <c r="F4" s="5">
        <v>0.70802919708029199</v>
      </c>
      <c r="G4" s="5" t="s">
        <v>68</v>
      </c>
      <c r="H4" s="5">
        <v>0.23529411764705882</v>
      </c>
      <c r="I4" s="5">
        <v>4.8387096774193547E-2</v>
      </c>
      <c r="J4" s="5">
        <v>0.94782608695652171</v>
      </c>
      <c r="K4" s="5">
        <v>0.33333333333333331</v>
      </c>
      <c r="L4" s="5">
        <v>0.53623188405797106</v>
      </c>
      <c r="M4" s="5">
        <v>0.45</v>
      </c>
      <c r="N4" s="5">
        <v>0.49593495934959347</v>
      </c>
      <c r="O4" s="5" t="s">
        <v>68</v>
      </c>
      <c r="P4" s="6">
        <v>0.44841675178753831</v>
      </c>
    </row>
    <row r="5" spans="1:43" ht="25.5" x14ac:dyDescent="0.2">
      <c r="A5" s="45" t="s">
        <v>17</v>
      </c>
      <c r="B5" s="7">
        <v>12.55</v>
      </c>
      <c r="C5" s="7">
        <v>21.368421052631579</v>
      </c>
      <c r="D5" s="7" t="s">
        <v>68</v>
      </c>
      <c r="E5" s="7">
        <v>6.7333333333333334</v>
      </c>
      <c r="F5" s="7">
        <v>49.288659793814432</v>
      </c>
      <c r="G5" s="7" t="s">
        <v>68</v>
      </c>
      <c r="H5" s="7">
        <v>10.875</v>
      </c>
      <c r="I5" s="7">
        <v>21.666666666666668</v>
      </c>
      <c r="J5" s="7">
        <v>34.128440366972477</v>
      </c>
      <c r="K5" s="7">
        <v>10.25</v>
      </c>
      <c r="L5" s="7">
        <v>3.5405405405405403</v>
      </c>
      <c r="M5" s="7">
        <v>9.3333333333333339</v>
      </c>
      <c r="N5" s="7">
        <v>10.442622950819672</v>
      </c>
      <c r="O5" s="7" t="s">
        <v>68</v>
      </c>
      <c r="P5" s="8">
        <v>26.246013667425967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64</v>
      </c>
      <c r="C3" s="2">
        <v>379</v>
      </c>
      <c r="D3" s="2">
        <v>164</v>
      </c>
      <c r="E3" s="2">
        <v>314</v>
      </c>
      <c r="F3" s="2">
        <v>118</v>
      </c>
      <c r="G3" s="2">
        <v>163</v>
      </c>
      <c r="H3" s="2">
        <v>149</v>
      </c>
      <c r="I3" s="2">
        <v>139</v>
      </c>
      <c r="J3" s="2">
        <v>106</v>
      </c>
      <c r="K3" s="2">
        <v>22</v>
      </c>
      <c r="L3" s="2">
        <v>241</v>
      </c>
      <c r="M3" s="2">
        <v>184</v>
      </c>
      <c r="N3" s="2">
        <v>189</v>
      </c>
      <c r="O3" s="2">
        <v>142</v>
      </c>
      <c r="P3" s="3">
        <v>2374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0.546875</v>
      </c>
      <c r="C4" s="5">
        <v>0.80211081794195249</v>
      </c>
      <c r="D4" s="5">
        <v>0.81707317073170727</v>
      </c>
      <c r="E4" s="5">
        <v>0.91082802547770703</v>
      </c>
      <c r="F4" s="5">
        <v>0.71186440677966101</v>
      </c>
      <c r="G4" s="5">
        <v>0.1165644171779141</v>
      </c>
      <c r="H4" s="5">
        <v>0.3825503355704698</v>
      </c>
      <c r="I4" s="5">
        <v>0.15107913669064749</v>
      </c>
      <c r="J4" s="5">
        <v>0.77358490566037741</v>
      </c>
      <c r="K4" s="5">
        <v>0.59090909090909094</v>
      </c>
      <c r="L4" s="5">
        <v>0.88796680497925307</v>
      </c>
      <c r="M4" s="5">
        <v>0.71195652173913049</v>
      </c>
      <c r="N4" s="5">
        <v>0.64021164021164023</v>
      </c>
      <c r="O4" s="5">
        <v>0.39436619718309857</v>
      </c>
      <c r="P4" s="6">
        <v>0.65585509688289811</v>
      </c>
    </row>
    <row r="5" spans="1:43" ht="25.5" x14ac:dyDescent="0.2">
      <c r="A5" s="45" t="s">
        <v>17</v>
      </c>
      <c r="B5" s="7">
        <v>10.685714285714285</v>
      </c>
      <c r="C5" s="7">
        <v>34.819078947368418</v>
      </c>
      <c r="D5" s="7">
        <v>45.514925373134325</v>
      </c>
      <c r="E5" s="7">
        <v>150.49650349650349</v>
      </c>
      <c r="F5" s="7">
        <v>35.571428571428569</v>
      </c>
      <c r="G5" s="7">
        <v>5</v>
      </c>
      <c r="H5" s="7">
        <v>12.350877192982455</v>
      </c>
      <c r="I5" s="7">
        <v>22.047619047619047</v>
      </c>
      <c r="J5" s="7">
        <v>23.951219512195124</v>
      </c>
      <c r="K5" s="7">
        <v>6.615384615384615</v>
      </c>
      <c r="L5" s="7">
        <v>30.523364485981308</v>
      </c>
      <c r="M5" s="7">
        <v>12.580152671755725</v>
      </c>
      <c r="N5" s="7">
        <v>10.644628099173554</v>
      </c>
      <c r="O5" s="7">
        <v>7.6964285714285712</v>
      </c>
      <c r="P5" s="8">
        <v>49.003853564547207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3976-A266-4D34-AF1B-C0DCD992C3FF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69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4</v>
      </c>
      <c r="C3" s="2" t="s">
        <v>68</v>
      </c>
      <c r="D3" s="2" t="s">
        <v>68</v>
      </c>
      <c r="E3" s="2" t="s">
        <v>68</v>
      </c>
      <c r="F3" s="2">
        <v>2</v>
      </c>
      <c r="G3" s="2">
        <v>47</v>
      </c>
      <c r="H3" s="2" t="s">
        <v>68</v>
      </c>
      <c r="I3" s="2">
        <v>116</v>
      </c>
      <c r="J3" s="2" t="s">
        <v>68</v>
      </c>
      <c r="K3" s="2" t="s">
        <v>68</v>
      </c>
      <c r="L3" s="2">
        <v>192</v>
      </c>
      <c r="M3" s="2" t="s">
        <v>68</v>
      </c>
      <c r="N3" s="2">
        <v>52</v>
      </c>
      <c r="O3" s="2" t="s">
        <v>68</v>
      </c>
      <c r="P3" s="3">
        <v>413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 t="s">
        <v>68</v>
      </c>
      <c r="D4" s="5" t="s">
        <v>68</v>
      </c>
      <c r="E4" s="5" t="s">
        <v>68</v>
      </c>
      <c r="F4" s="5" t="s">
        <v>68</v>
      </c>
      <c r="G4" s="5" t="s">
        <v>68</v>
      </c>
      <c r="H4" s="5" t="s">
        <v>68</v>
      </c>
      <c r="I4" s="5" t="s">
        <v>68</v>
      </c>
      <c r="J4" s="5" t="s">
        <v>68</v>
      </c>
      <c r="K4" s="5" t="s">
        <v>68</v>
      </c>
      <c r="L4" s="5">
        <v>0.9375</v>
      </c>
      <c r="M4" s="5" t="s">
        <v>68</v>
      </c>
      <c r="N4" s="5">
        <v>0.82692307692307687</v>
      </c>
      <c r="O4" s="5" t="s">
        <v>68</v>
      </c>
      <c r="P4" s="6">
        <v>0.53995157384987891</v>
      </c>
    </row>
    <row r="5" spans="1:43" ht="25.5" x14ac:dyDescent="0.2">
      <c r="A5" s="45" t="s">
        <v>17</v>
      </c>
      <c r="B5" s="7" t="s">
        <v>68</v>
      </c>
      <c r="C5" s="7" t="s">
        <v>68</v>
      </c>
      <c r="D5" s="7" t="s">
        <v>68</v>
      </c>
      <c r="E5" s="7" t="s">
        <v>68</v>
      </c>
      <c r="F5" s="7" t="s">
        <v>68</v>
      </c>
      <c r="G5" s="7" t="s">
        <v>68</v>
      </c>
      <c r="H5" s="7" t="s">
        <v>68</v>
      </c>
      <c r="I5" s="7" t="s">
        <v>68</v>
      </c>
      <c r="J5" s="7" t="s">
        <v>68</v>
      </c>
      <c r="K5" s="7" t="s">
        <v>68</v>
      </c>
      <c r="L5" s="7">
        <v>91.272222222222226</v>
      </c>
      <c r="M5" s="7" t="s">
        <v>68</v>
      </c>
      <c r="N5" s="7">
        <v>23.767441860465116</v>
      </c>
      <c r="O5" s="7" t="s">
        <v>68</v>
      </c>
      <c r="P5" s="8">
        <v>78.255605381165921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23</v>
      </c>
      <c r="C3" s="2">
        <v>71</v>
      </c>
      <c r="D3" s="2" t="s">
        <v>68</v>
      </c>
      <c r="E3" s="2" t="s">
        <v>68</v>
      </c>
      <c r="F3" s="2">
        <v>21</v>
      </c>
      <c r="G3" s="2">
        <v>269</v>
      </c>
      <c r="H3" s="2">
        <v>162</v>
      </c>
      <c r="I3" s="2">
        <v>165</v>
      </c>
      <c r="J3" s="2">
        <v>58</v>
      </c>
      <c r="K3" s="2">
        <v>32</v>
      </c>
      <c r="L3" s="2">
        <v>46</v>
      </c>
      <c r="M3" s="2" t="s">
        <v>68</v>
      </c>
      <c r="N3" s="2">
        <v>61</v>
      </c>
      <c r="O3" s="2">
        <v>230</v>
      </c>
      <c r="P3" s="3">
        <v>1138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0.78260869565217395</v>
      </c>
      <c r="C4" s="5">
        <v>0.77464788732394363</v>
      </c>
      <c r="D4" s="5" t="s">
        <v>68</v>
      </c>
      <c r="E4" s="5" t="s">
        <v>68</v>
      </c>
      <c r="F4" s="5">
        <v>0.76190476190476186</v>
      </c>
      <c r="G4" s="5">
        <v>1.1152416356877323E-2</v>
      </c>
      <c r="H4" s="5">
        <v>0.80864197530864201</v>
      </c>
      <c r="I4" s="5">
        <v>0.55151515151515151</v>
      </c>
      <c r="J4" s="5">
        <v>0.82758620689655171</v>
      </c>
      <c r="K4" s="5">
        <v>0.75</v>
      </c>
      <c r="L4" s="5">
        <v>0.58695652173913049</v>
      </c>
      <c r="M4" s="5" t="s">
        <v>68</v>
      </c>
      <c r="N4" s="5">
        <v>0.72131147540983609</v>
      </c>
      <c r="O4" s="5">
        <v>0.81739130434782614</v>
      </c>
      <c r="P4" s="6">
        <v>0.56678383128295251</v>
      </c>
    </row>
    <row r="5" spans="1:43" ht="25.5" x14ac:dyDescent="0.2">
      <c r="A5" s="45" t="s">
        <v>17</v>
      </c>
      <c r="B5" s="7">
        <v>11.277777777777779</v>
      </c>
      <c r="C5" s="7">
        <v>11.854545454545455</v>
      </c>
      <c r="D5" s="7" t="s">
        <v>68</v>
      </c>
      <c r="E5" s="7" t="s">
        <v>68</v>
      </c>
      <c r="F5" s="7">
        <v>19.4375</v>
      </c>
      <c r="G5" s="7">
        <v>38.666666666666664</v>
      </c>
      <c r="H5" s="7">
        <v>27.946564885496183</v>
      </c>
      <c r="I5" s="7">
        <v>26.065934065934066</v>
      </c>
      <c r="J5" s="7">
        <v>38.541666666666664</v>
      </c>
      <c r="K5" s="7">
        <v>31.125</v>
      </c>
      <c r="L5" s="7">
        <v>5.8888888888888893</v>
      </c>
      <c r="M5" s="7" t="s">
        <v>68</v>
      </c>
      <c r="N5" s="7">
        <v>6.6136363636363633</v>
      </c>
      <c r="O5" s="7">
        <v>56.223404255319146</v>
      </c>
      <c r="P5" s="8">
        <v>32.452713178294573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563</v>
      </c>
      <c r="C3" s="2">
        <v>1561</v>
      </c>
      <c r="D3" s="2" t="s">
        <v>68</v>
      </c>
      <c r="E3" s="2" t="s">
        <v>68</v>
      </c>
      <c r="F3" s="2">
        <v>390</v>
      </c>
      <c r="G3" s="2">
        <v>768</v>
      </c>
      <c r="H3" s="2">
        <v>584</v>
      </c>
      <c r="I3" s="2">
        <v>169</v>
      </c>
      <c r="J3" s="2">
        <v>328</v>
      </c>
      <c r="K3" s="2">
        <v>33</v>
      </c>
      <c r="L3" s="2">
        <v>420</v>
      </c>
      <c r="M3" s="2" t="s">
        <v>68</v>
      </c>
      <c r="N3" s="2">
        <v>439</v>
      </c>
      <c r="O3" s="2">
        <v>640</v>
      </c>
      <c r="P3" s="3">
        <v>5895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0.82238010657193605</v>
      </c>
      <c r="C4" s="5">
        <v>0.76361306854580402</v>
      </c>
      <c r="D4" s="5" t="s">
        <v>68</v>
      </c>
      <c r="E4" s="5" t="s">
        <v>68</v>
      </c>
      <c r="F4" s="5">
        <v>0.93846153846153846</v>
      </c>
      <c r="G4" s="5">
        <v>0.578125</v>
      </c>
      <c r="H4" s="5">
        <v>0.69178082191780821</v>
      </c>
      <c r="I4" s="5">
        <v>0.84615384615384615</v>
      </c>
      <c r="J4" s="5">
        <v>0.75914634146341464</v>
      </c>
      <c r="K4" s="5">
        <v>0.69696969696969702</v>
      </c>
      <c r="L4" s="5">
        <v>0.86428571428571432</v>
      </c>
      <c r="M4" s="5" t="s">
        <v>68</v>
      </c>
      <c r="N4" s="5">
        <v>0.67881548974943051</v>
      </c>
      <c r="O4" s="5">
        <v>0.734375</v>
      </c>
      <c r="P4" s="6">
        <v>0.7489397794741306</v>
      </c>
    </row>
    <row r="5" spans="1:43" ht="25.5" x14ac:dyDescent="0.2">
      <c r="A5" s="45" t="s">
        <v>17</v>
      </c>
      <c r="B5" s="7">
        <v>65.898488120950319</v>
      </c>
      <c r="C5" s="7">
        <v>178.40352348993289</v>
      </c>
      <c r="D5" s="7" t="s">
        <v>68</v>
      </c>
      <c r="E5" s="7" t="s">
        <v>68</v>
      </c>
      <c r="F5" s="7">
        <v>116.48633879781421</v>
      </c>
      <c r="G5" s="7">
        <v>36.975225225225223</v>
      </c>
      <c r="H5" s="7">
        <v>59.185643564356432</v>
      </c>
      <c r="I5" s="7">
        <v>43.391608391608393</v>
      </c>
      <c r="J5" s="7">
        <v>37.092369477911646</v>
      </c>
      <c r="K5" s="7">
        <v>59.782608695652172</v>
      </c>
      <c r="L5" s="7">
        <v>30.696969696969695</v>
      </c>
      <c r="M5" s="7" t="s">
        <v>68</v>
      </c>
      <c r="N5" s="7">
        <v>29.651006711409394</v>
      </c>
      <c r="O5" s="7">
        <v>88.436170212765958</v>
      </c>
      <c r="P5" s="8">
        <v>35.242924528301884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>
        <v>159</v>
      </c>
      <c r="D3" s="2" t="s">
        <v>68</v>
      </c>
      <c r="E3" s="2" t="s">
        <v>68</v>
      </c>
      <c r="F3" s="2" t="s">
        <v>68</v>
      </c>
      <c r="G3" s="2">
        <v>233</v>
      </c>
      <c r="H3" s="2" t="s">
        <v>68</v>
      </c>
      <c r="I3" s="2">
        <v>238</v>
      </c>
      <c r="J3" s="2" t="s">
        <v>68</v>
      </c>
      <c r="K3" s="2" t="s">
        <v>68</v>
      </c>
      <c r="L3" s="2">
        <v>16</v>
      </c>
      <c r="M3" s="2" t="s">
        <v>68</v>
      </c>
      <c r="N3" s="2">
        <v>53</v>
      </c>
      <c r="O3" s="2" t="s">
        <v>68</v>
      </c>
      <c r="P3" s="3">
        <v>699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>
        <v>0.5220125786163522</v>
      </c>
      <c r="D4" s="5" t="s">
        <v>68</v>
      </c>
      <c r="E4" s="5" t="s">
        <v>68</v>
      </c>
      <c r="F4" s="5" t="s">
        <v>68</v>
      </c>
      <c r="G4" s="5">
        <v>0.54935622317596566</v>
      </c>
      <c r="H4" s="5" t="s">
        <v>68</v>
      </c>
      <c r="I4" s="5">
        <v>0.67647058823529416</v>
      </c>
      <c r="J4" s="5" t="s">
        <v>68</v>
      </c>
      <c r="K4" s="5" t="s">
        <v>68</v>
      </c>
      <c r="L4" s="5">
        <v>0.4375</v>
      </c>
      <c r="M4" s="5" t="s">
        <v>68</v>
      </c>
      <c r="N4" s="5">
        <v>0.84905660377358494</v>
      </c>
      <c r="O4" s="5" t="s">
        <v>68</v>
      </c>
      <c r="P4" s="6">
        <v>0.60658082975679539</v>
      </c>
    </row>
    <row r="5" spans="1:43" ht="25.5" x14ac:dyDescent="0.2">
      <c r="A5" s="45" t="s">
        <v>17</v>
      </c>
      <c r="B5" s="7" t="s">
        <v>68</v>
      </c>
      <c r="C5" s="7">
        <v>26.096385542168676</v>
      </c>
      <c r="D5" s="7" t="s">
        <v>68</v>
      </c>
      <c r="E5" s="7" t="s">
        <v>68</v>
      </c>
      <c r="F5" s="7" t="s">
        <v>68</v>
      </c>
      <c r="G5" s="7">
        <v>48.5390625</v>
      </c>
      <c r="H5" s="7" t="s">
        <v>68</v>
      </c>
      <c r="I5" s="7">
        <v>34.155279503105589</v>
      </c>
      <c r="J5" s="7" t="s">
        <v>68</v>
      </c>
      <c r="K5" s="7" t="s">
        <v>68</v>
      </c>
      <c r="L5" s="7">
        <v>10.285714285714286</v>
      </c>
      <c r="M5" s="7" t="s">
        <v>68</v>
      </c>
      <c r="N5" s="7">
        <v>22.066666666666666</v>
      </c>
      <c r="O5" s="7" t="s">
        <v>68</v>
      </c>
      <c r="P5" s="8">
        <v>30.574821852731592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51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>
        <v>250</v>
      </c>
      <c r="D3" s="2" t="s">
        <v>68</v>
      </c>
      <c r="E3" s="2" t="s">
        <v>68</v>
      </c>
      <c r="F3" s="2" t="s">
        <v>68</v>
      </c>
      <c r="G3" s="2">
        <v>1</v>
      </c>
      <c r="H3" s="2" t="s">
        <v>68</v>
      </c>
      <c r="I3" s="2" t="s">
        <v>68</v>
      </c>
      <c r="J3" s="2" t="s">
        <v>68</v>
      </c>
      <c r="K3" s="2" t="s">
        <v>68</v>
      </c>
      <c r="L3" s="2" t="s">
        <v>68</v>
      </c>
      <c r="M3" s="2" t="s">
        <v>68</v>
      </c>
      <c r="N3" s="2" t="s">
        <v>68</v>
      </c>
      <c r="O3" s="2" t="s">
        <v>68</v>
      </c>
      <c r="P3" s="3">
        <v>251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>
        <v>0.25600000000000001</v>
      </c>
      <c r="D4" s="5" t="s">
        <v>68</v>
      </c>
      <c r="E4" s="5" t="s">
        <v>68</v>
      </c>
      <c r="F4" s="5" t="s">
        <v>68</v>
      </c>
      <c r="G4" s="5">
        <v>1</v>
      </c>
      <c r="H4" s="5" t="s">
        <v>68</v>
      </c>
      <c r="I4" s="5" t="s">
        <v>68</v>
      </c>
      <c r="J4" s="5" t="s">
        <v>68</v>
      </c>
      <c r="K4" s="5" t="s">
        <v>68</v>
      </c>
      <c r="L4" s="5" t="s">
        <v>68</v>
      </c>
      <c r="M4" s="5" t="s">
        <v>68</v>
      </c>
      <c r="N4" s="5" t="s">
        <v>68</v>
      </c>
      <c r="O4" s="5" t="s">
        <v>68</v>
      </c>
      <c r="P4" s="6">
        <v>0.25896414342629481</v>
      </c>
    </row>
    <row r="5" spans="1:43" ht="25.5" x14ac:dyDescent="0.2">
      <c r="A5" s="45" t="s">
        <v>17</v>
      </c>
      <c r="B5" s="7" t="s">
        <v>68</v>
      </c>
      <c r="C5" s="7">
        <v>31.484375</v>
      </c>
      <c r="D5" s="7" t="s">
        <v>68</v>
      </c>
      <c r="E5" s="7" t="s">
        <v>68</v>
      </c>
      <c r="F5" s="7" t="s">
        <v>68</v>
      </c>
      <c r="G5" s="7" t="s">
        <v>68</v>
      </c>
      <c r="H5" s="7" t="s">
        <v>68</v>
      </c>
      <c r="I5" s="7" t="s">
        <v>68</v>
      </c>
      <c r="J5" s="7" t="s">
        <v>68</v>
      </c>
      <c r="K5" s="7" t="s">
        <v>68</v>
      </c>
      <c r="L5" s="7" t="s">
        <v>68</v>
      </c>
      <c r="M5" s="7" t="s">
        <v>68</v>
      </c>
      <c r="N5" s="7" t="s">
        <v>68</v>
      </c>
      <c r="O5" s="7" t="s">
        <v>68</v>
      </c>
      <c r="P5" s="8">
        <v>31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85</v>
      </c>
      <c r="C3" s="2">
        <v>915</v>
      </c>
      <c r="D3" s="2" t="s">
        <v>68</v>
      </c>
      <c r="E3" s="2" t="s">
        <v>68</v>
      </c>
      <c r="F3" s="2">
        <v>467</v>
      </c>
      <c r="G3" s="2">
        <v>1068</v>
      </c>
      <c r="H3" s="2">
        <v>1411</v>
      </c>
      <c r="I3" s="2">
        <v>700</v>
      </c>
      <c r="J3" s="2">
        <v>381</v>
      </c>
      <c r="K3" s="2">
        <v>83</v>
      </c>
      <c r="L3" s="2">
        <v>1340</v>
      </c>
      <c r="M3" s="2" t="s">
        <v>68</v>
      </c>
      <c r="N3" s="2">
        <v>1299</v>
      </c>
      <c r="O3" s="2">
        <v>264</v>
      </c>
      <c r="P3" s="3">
        <v>8013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0.37647058823529411</v>
      </c>
      <c r="C4" s="5">
        <v>0.81748633879781418</v>
      </c>
      <c r="D4" s="5" t="s">
        <v>68</v>
      </c>
      <c r="E4" s="5" t="s">
        <v>68</v>
      </c>
      <c r="F4" s="5">
        <v>0.94860813704496783</v>
      </c>
      <c r="G4" s="5">
        <v>0.6544943820224719</v>
      </c>
      <c r="H4" s="5">
        <v>0.82919914953933382</v>
      </c>
      <c r="I4" s="5">
        <v>0.62142857142857144</v>
      </c>
      <c r="J4" s="5">
        <v>0.95538057742782156</v>
      </c>
      <c r="K4" s="5">
        <v>0.84337349397590367</v>
      </c>
      <c r="L4" s="5">
        <v>0.84776119402985073</v>
      </c>
      <c r="M4" s="5" t="s">
        <v>68</v>
      </c>
      <c r="N4" s="5">
        <v>0.84141647421093146</v>
      </c>
      <c r="O4" s="5">
        <v>0.91287878787878785</v>
      </c>
      <c r="P4" s="6">
        <v>0.80257082241357791</v>
      </c>
    </row>
    <row r="5" spans="1:43" ht="25.5" x14ac:dyDescent="0.2">
      <c r="A5" s="45" t="s">
        <v>17</v>
      </c>
      <c r="B5" s="7">
        <v>2.40625</v>
      </c>
      <c r="C5" s="7">
        <v>29.979946524064172</v>
      </c>
      <c r="D5" s="7" t="s">
        <v>68</v>
      </c>
      <c r="E5" s="7" t="s">
        <v>68</v>
      </c>
      <c r="F5" s="7">
        <v>88.363431151241528</v>
      </c>
      <c r="G5" s="7">
        <v>33.66952789699571</v>
      </c>
      <c r="H5" s="7">
        <v>102.28717948717949</v>
      </c>
      <c r="I5" s="7">
        <v>81.312643678160924</v>
      </c>
      <c r="J5" s="7">
        <v>91.392857142857139</v>
      </c>
      <c r="K5" s="7">
        <v>19.014285714285716</v>
      </c>
      <c r="L5" s="7">
        <v>60.51672535211268</v>
      </c>
      <c r="M5" s="7" t="s">
        <v>68</v>
      </c>
      <c r="N5" s="7">
        <v>63.54986276303751</v>
      </c>
      <c r="O5" s="7">
        <v>68.84647302904564</v>
      </c>
      <c r="P5" s="8">
        <v>66.805473487793506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 t="s">
        <v>68</v>
      </c>
      <c r="C3" s="2">
        <v>69</v>
      </c>
      <c r="D3" s="2">
        <v>13</v>
      </c>
      <c r="E3" s="2">
        <v>19</v>
      </c>
      <c r="F3" s="2">
        <v>25</v>
      </c>
      <c r="G3" s="2">
        <v>101</v>
      </c>
      <c r="H3" s="2" t="s">
        <v>68</v>
      </c>
      <c r="I3" s="2">
        <v>21</v>
      </c>
      <c r="J3" s="2">
        <v>78</v>
      </c>
      <c r="K3" s="2">
        <v>52</v>
      </c>
      <c r="L3" s="2">
        <v>249</v>
      </c>
      <c r="M3" s="2">
        <v>17</v>
      </c>
      <c r="N3" s="2">
        <v>110</v>
      </c>
      <c r="O3" s="2">
        <v>33</v>
      </c>
      <c r="P3" s="3">
        <v>787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>
        <v>0.36231884057971014</v>
      </c>
      <c r="D4" s="5">
        <v>0.30769230769230771</v>
      </c>
      <c r="E4" s="5">
        <v>0.21052631578947367</v>
      </c>
      <c r="F4" s="5">
        <v>0.36</v>
      </c>
      <c r="G4" s="5">
        <v>0.19801980198019803</v>
      </c>
      <c r="H4" s="5" t="s">
        <v>68</v>
      </c>
      <c r="I4" s="5">
        <v>0.7142857142857143</v>
      </c>
      <c r="J4" s="5">
        <v>0.91025641025641024</v>
      </c>
      <c r="K4" s="5">
        <v>5.7692307692307696E-2</v>
      </c>
      <c r="L4" s="5">
        <v>0.14056224899598393</v>
      </c>
      <c r="M4" s="5">
        <v>5.8823529411764705E-2</v>
      </c>
      <c r="N4" s="5">
        <v>0.18181818181818182</v>
      </c>
      <c r="O4" s="5">
        <v>0.18181818181818182</v>
      </c>
      <c r="P4" s="6">
        <v>0.27064803049555275</v>
      </c>
    </row>
    <row r="5" spans="1:43" ht="25.5" x14ac:dyDescent="0.2">
      <c r="A5" s="45" t="s">
        <v>17</v>
      </c>
      <c r="B5" s="7" t="s">
        <v>68</v>
      </c>
      <c r="C5" s="7">
        <v>14.4</v>
      </c>
      <c r="D5" s="7">
        <v>1.25</v>
      </c>
      <c r="E5" s="7">
        <v>15.5</v>
      </c>
      <c r="F5" s="7">
        <v>6.7777777777777777</v>
      </c>
      <c r="G5" s="7">
        <v>5.9</v>
      </c>
      <c r="H5" s="7" t="s">
        <v>68</v>
      </c>
      <c r="I5" s="7">
        <v>97.4</v>
      </c>
      <c r="J5" s="7">
        <v>14.591549295774648</v>
      </c>
      <c r="K5" s="7">
        <v>1</v>
      </c>
      <c r="L5" s="7">
        <v>12.685714285714285</v>
      </c>
      <c r="M5" s="7" t="s">
        <v>68</v>
      </c>
      <c r="N5" s="7">
        <v>4.55</v>
      </c>
      <c r="O5" s="7">
        <v>2.6666666666666665</v>
      </c>
      <c r="P5" s="8">
        <v>17.169014084507044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501</v>
      </c>
      <c r="C3" s="2">
        <v>3982</v>
      </c>
      <c r="D3" s="2">
        <v>390</v>
      </c>
      <c r="E3" s="2">
        <v>1434</v>
      </c>
      <c r="F3" s="2">
        <v>807</v>
      </c>
      <c r="G3" s="2">
        <v>6154</v>
      </c>
      <c r="H3" s="2">
        <v>2300</v>
      </c>
      <c r="I3" s="2">
        <v>1585</v>
      </c>
      <c r="J3" s="2">
        <v>1910</v>
      </c>
      <c r="K3" s="2">
        <v>2258</v>
      </c>
      <c r="L3" s="2">
        <v>3650</v>
      </c>
      <c r="M3" s="2">
        <v>655</v>
      </c>
      <c r="N3" s="2">
        <v>1343</v>
      </c>
      <c r="O3" s="2">
        <v>3798</v>
      </c>
      <c r="P3" s="3">
        <v>30767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0.32135728542914171</v>
      </c>
      <c r="C4" s="5">
        <v>0.85233550979407335</v>
      </c>
      <c r="D4" s="5">
        <v>0.73333333333333328</v>
      </c>
      <c r="E4" s="5">
        <v>0.82078103207810316</v>
      </c>
      <c r="F4" s="5">
        <v>0.92441140024783153</v>
      </c>
      <c r="G4" s="5">
        <v>0.68573285667858308</v>
      </c>
      <c r="H4" s="5">
        <v>0.49173913043478262</v>
      </c>
      <c r="I4" s="5">
        <v>0.74069400630914828</v>
      </c>
      <c r="J4" s="5">
        <v>0.97329842931937172</v>
      </c>
      <c r="K4" s="5">
        <v>0.95305580159433123</v>
      </c>
      <c r="L4" s="5">
        <v>0.77205479452054793</v>
      </c>
      <c r="M4" s="5">
        <v>0.94045801526717554</v>
      </c>
      <c r="N4" s="5">
        <v>0.58674609084139984</v>
      </c>
      <c r="O4" s="5">
        <v>0.95234333859926279</v>
      </c>
      <c r="P4" s="6">
        <v>0.78457438164266913</v>
      </c>
    </row>
    <row r="5" spans="1:43" ht="25.5" x14ac:dyDescent="0.2">
      <c r="A5" s="45" t="s">
        <v>17</v>
      </c>
      <c r="B5" s="7">
        <v>23.037267080745341</v>
      </c>
      <c r="C5" s="7">
        <v>56.800530347672364</v>
      </c>
      <c r="D5" s="7">
        <v>23.33916083916084</v>
      </c>
      <c r="E5" s="7">
        <v>100.38317757009345</v>
      </c>
      <c r="F5" s="7">
        <v>106.0656836461126</v>
      </c>
      <c r="G5" s="7">
        <v>54.272985781990521</v>
      </c>
      <c r="H5" s="7">
        <v>38.761273209549074</v>
      </c>
      <c r="I5" s="7">
        <v>134.47785349233391</v>
      </c>
      <c r="J5" s="7">
        <v>60.428725121032812</v>
      </c>
      <c r="K5" s="7">
        <v>179.40009293680296</v>
      </c>
      <c r="L5" s="7">
        <v>32.200141944641587</v>
      </c>
      <c r="M5" s="7">
        <v>86.396103896103895</v>
      </c>
      <c r="N5" s="7">
        <v>17.390862944162436</v>
      </c>
      <c r="O5" s="7">
        <v>95.63588609344761</v>
      </c>
      <c r="P5" s="8">
        <v>75.942416835825838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39</v>
      </c>
      <c r="C3" s="2">
        <v>92</v>
      </c>
      <c r="D3" s="2" t="s">
        <v>68</v>
      </c>
      <c r="E3" s="2">
        <v>2</v>
      </c>
      <c r="F3" s="2">
        <v>6</v>
      </c>
      <c r="G3" s="2">
        <v>21</v>
      </c>
      <c r="H3" s="2">
        <v>25</v>
      </c>
      <c r="I3" s="2">
        <v>34</v>
      </c>
      <c r="J3" s="2">
        <v>7</v>
      </c>
      <c r="K3" s="2" t="s">
        <v>68</v>
      </c>
      <c r="L3" s="2">
        <v>85</v>
      </c>
      <c r="M3" s="2" t="s">
        <v>68</v>
      </c>
      <c r="N3" s="2">
        <v>40</v>
      </c>
      <c r="O3" s="2">
        <v>6</v>
      </c>
      <c r="P3" s="3">
        <v>357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0.4358974358974359</v>
      </c>
      <c r="C4" s="5" t="s">
        <v>68</v>
      </c>
      <c r="D4" s="68" t="s">
        <v>68</v>
      </c>
      <c r="E4" s="5">
        <v>1</v>
      </c>
      <c r="F4" s="68" t="s">
        <v>68</v>
      </c>
      <c r="G4" s="68" t="s">
        <v>68</v>
      </c>
      <c r="H4" s="68" t="s">
        <v>68</v>
      </c>
      <c r="I4" s="5">
        <v>0.17647058823529413</v>
      </c>
      <c r="J4" s="5">
        <v>1</v>
      </c>
      <c r="K4" s="5" t="s">
        <v>68</v>
      </c>
      <c r="L4" s="5">
        <v>0.74117647058823533</v>
      </c>
      <c r="M4" s="5" t="s">
        <v>68</v>
      </c>
      <c r="N4" s="68">
        <v>2.5000000000000001E-2</v>
      </c>
      <c r="O4" s="68" t="s">
        <v>68</v>
      </c>
      <c r="P4" s="6">
        <v>0.26890756302521007</v>
      </c>
    </row>
    <row r="5" spans="1:43" ht="25.5" x14ac:dyDescent="0.2">
      <c r="A5" s="45" t="s">
        <v>17</v>
      </c>
      <c r="B5" s="7">
        <v>10.882352941176471</v>
      </c>
      <c r="C5" s="7" t="s">
        <v>68</v>
      </c>
      <c r="D5" s="67" t="s">
        <v>68</v>
      </c>
      <c r="E5" s="7">
        <v>8.5</v>
      </c>
      <c r="F5" s="67" t="s">
        <v>68</v>
      </c>
      <c r="G5" s="67" t="s">
        <v>68</v>
      </c>
      <c r="H5" s="67" t="s">
        <v>68</v>
      </c>
      <c r="I5" s="7">
        <v>3.6666666666666665</v>
      </c>
      <c r="J5" s="7">
        <v>6.7142857142857144</v>
      </c>
      <c r="K5" s="7" t="s">
        <v>68</v>
      </c>
      <c r="L5" s="7">
        <v>4.5238095238095237</v>
      </c>
      <c r="M5" s="7" t="s">
        <v>68</v>
      </c>
      <c r="N5" s="67" t="s">
        <v>68</v>
      </c>
      <c r="O5" s="67" t="s">
        <v>68</v>
      </c>
      <c r="P5" s="8">
        <v>5.791666666666667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54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65" t="s">
        <v>68</v>
      </c>
      <c r="C3" s="65">
        <v>79</v>
      </c>
      <c r="D3" s="65" t="s">
        <v>68</v>
      </c>
      <c r="E3" s="65" t="s">
        <v>68</v>
      </c>
      <c r="F3" s="65" t="s">
        <v>68</v>
      </c>
      <c r="G3" s="65">
        <v>32</v>
      </c>
      <c r="H3" s="65" t="s">
        <v>68</v>
      </c>
      <c r="I3" s="65">
        <v>15</v>
      </c>
      <c r="J3" s="65" t="s">
        <v>68</v>
      </c>
      <c r="K3" s="65" t="s">
        <v>68</v>
      </c>
      <c r="L3" s="65" t="s">
        <v>68</v>
      </c>
      <c r="M3" s="65" t="s">
        <v>68</v>
      </c>
      <c r="N3" s="65">
        <v>78</v>
      </c>
      <c r="O3" s="65">
        <v>9</v>
      </c>
      <c r="P3" s="66">
        <v>213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 t="s">
        <v>68</v>
      </c>
      <c r="C4" s="5">
        <v>0.44303797468354428</v>
      </c>
      <c r="D4" s="5" t="s">
        <v>68</v>
      </c>
      <c r="E4" s="5" t="s">
        <v>68</v>
      </c>
      <c r="F4" s="5" t="s">
        <v>68</v>
      </c>
      <c r="G4" s="5">
        <v>3.125E-2</v>
      </c>
      <c r="H4" s="5" t="s">
        <v>68</v>
      </c>
      <c r="I4" s="76" t="s">
        <v>68</v>
      </c>
      <c r="J4" s="5" t="s">
        <v>68</v>
      </c>
      <c r="K4" s="5" t="s">
        <v>68</v>
      </c>
      <c r="L4" s="5" t="s">
        <v>68</v>
      </c>
      <c r="M4" s="5" t="s">
        <v>68</v>
      </c>
      <c r="N4" s="5">
        <v>0.74358974358974361</v>
      </c>
      <c r="O4" s="74" t="s">
        <v>68</v>
      </c>
      <c r="P4" s="6">
        <v>0.44131455399061031</v>
      </c>
    </row>
    <row r="5" spans="1:43" ht="25.5" x14ac:dyDescent="0.2">
      <c r="A5" s="45" t="s">
        <v>17</v>
      </c>
      <c r="B5" s="7" t="s">
        <v>68</v>
      </c>
      <c r="C5" s="7">
        <v>7.2285714285714286</v>
      </c>
      <c r="D5" s="7" t="s">
        <v>68</v>
      </c>
      <c r="E5" s="7" t="s">
        <v>68</v>
      </c>
      <c r="F5" s="7" t="s">
        <v>68</v>
      </c>
      <c r="G5" s="7" t="s">
        <v>68</v>
      </c>
      <c r="H5" s="7" t="s">
        <v>68</v>
      </c>
      <c r="I5" s="75" t="s">
        <v>68</v>
      </c>
      <c r="J5" s="7" t="s">
        <v>68</v>
      </c>
      <c r="K5" s="7" t="s">
        <v>68</v>
      </c>
      <c r="L5" s="7" t="s">
        <v>68</v>
      </c>
      <c r="M5" s="7" t="s">
        <v>68</v>
      </c>
      <c r="N5" s="7">
        <v>6.568965517241379</v>
      </c>
      <c r="O5" s="75" t="s">
        <v>68</v>
      </c>
      <c r="P5" s="8">
        <v>6.7446808510638299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1067</v>
      </c>
      <c r="C3" s="2">
        <v>2423</v>
      </c>
      <c r="D3" s="2">
        <v>116</v>
      </c>
      <c r="E3" s="2">
        <v>356</v>
      </c>
      <c r="F3" s="2">
        <v>1364</v>
      </c>
      <c r="G3" s="2">
        <v>1096</v>
      </c>
      <c r="H3" s="2">
        <v>961</v>
      </c>
      <c r="I3" s="2">
        <v>1067</v>
      </c>
      <c r="J3" s="2">
        <v>757</v>
      </c>
      <c r="K3" s="2">
        <v>632</v>
      </c>
      <c r="L3" s="2">
        <v>2403</v>
      </c>
      <c r="M3" s="2">
        <v>155</v>
      </c>
      <c r="N3" s="2">
        <v>391</v>
      </c>
      <c r="O3" s="2">
        <v>299</v>
      </c>
      <c r="P3" s="3">
        <v>13087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0.90253045923149011</v>
      </c>
      <c r="C4" s="5">
        <v>0.87577383408997111</v>
      </c>
      <c r="D4" s="5">
        <v>0.74137931034482762</v>
      </c>
      <c r="E4" s="5">
        <v>0.7696629213483146</v>
      </c>
      <c r="F4" s="5">
        <v>0.96041055718475077</v>
      </c>
      <c r="G4" s="5">
        <v>0.64051094890510951</v>
      </c>
      <c r="H4" s="5">
        <v>0.58376690946930276</v>
      </c>
      <c r="I4" s="5">
        <v>0.73102155576382377</v>
      </c>
      <c r="J4" s="5">
        <v>0.99207397622192861</v>
      </c>
      <c r="K4" s="5">
        <v>0.99208860759493667</v>
      </c>
      <c r="L4" s="5">
        <v>0.80191427382438618</v>
      </c>
      <c r="M4" s="5">
        <v>0.91612903225806452</v>
      </c>
      <c r="N4" s="5">
        <v>0.57033248081841437</v>
      </c>
      <c r="O4" s="5">
        <v>0.78929765886287628</v>
      </c>
      <c r="P4" s="6">
        <v>0.81791090395048527</v>
      </c>
    </row>
    <row r="5" spans="1:43" ht="25.5" x14ac:dyDescent="0.2">
      <c r="A5" s="45" t="s">
        <v>17</v>
      </c>
      <c r="B5" s="7">
        <v>39.546209761163034</v>
      </c>
      <c r="C5" s="7">
        <v>54.385485391140435</v>
      </c>
      <c r="D5" s="7">
        <v>12.686046511627907</v>
      </c>
      <c r="E5" s="7">
        <v>28.302919708029197</v>
      </c>
      <c r="F5" s="7">
        <v>66.209160305343516</v>
      </c>
      <c r="G5" s="7">
        <v>28.87037037037037</v>
      </c>
      <c r="H5" s="7">
        <v>37.459893048128343</v>
      </c>
      <c r="I5" s="7">
        <v>23.085897435897436</v>
      </c>
      <c r="J5" s="7">
        <v>44.326231691078561</v>
      </c>
      <c r="K5" s="7">
        <v>54.598086124401917</v>
      </c>
      <c r="L5" s="7">
        <v>54.98702646600934</v>
      </c>
      <c r="M5" s="7">
        <v>53</v>
      </c>
      <c r="N5" s="7">
        <v>7.2197309417040358</v>
      </c>
      <c r="O5" s="7">
        <v>16.173728813559322</v>
      </c>
      <c r="P5" s="8">
        <v>46.225056053811656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38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143</v>
      </c>
      <c r="C3" s="2">
        <v>205</v>
      </c>
      <c r="D3" s="2">
        <v>16</v>
      </c>
      <c r="E3" s="2">
        <v>51</v>
      </c>
      <c r="F3" s="2">
        <v>165</v>
      </c>
      <c r="G3" s="2">
        <v>307</v>
      </c>
      <c r="H3" s="2">
        <v>241</v>
      </c>
      <c r="I3" s="2">
        <v>161</v>
      </c>
      <c r="J3" s="2">
        <v>68</v>
      </c>
      <c r="K3" s="2">
        <v>92</v>
      </c>
      <c r="L3" s="2">
        <v>179</v>
      </c>
      <c r="M3" s="2">
        <v>4</v>
      </c>
      <c r="N3" s="2">
        <v>419</v>
      </c>
      <c r="O3" s="2">
        <v>102</v>
      </c>
      <c r="P3" s="3">
        <v>2153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0.74825174825174823</v>
      </c>
      <c r="C4" s="5">
        <v>0.72682926829268291</v>
      </c>
      <c r="D4" s="5">
        <v>0.375</v>
      </c>
      <c r="E4" s="5">
        <v>0.11764705882352941</v>
      </c>
      <c r="F4" s="5">
        <v>0.8606060606060606</v>
      </c>
      <c r="G4" s="5">
        <v>3.2573289902280132E-3</v>
      </c>
      <c r="H4" s="5">
        <v>2.4896265560165973E-2</v>
      </c>
      <c r="I4" s="5">
        <v>0.51552795031055898</v>
      </c>
      <c r="J4" s="5">
        <v>0.6029411764705882</v>
      </c>
      <c r="K4" s="5">
        <v>0.83695652173913049</v>
      </c>
      <c r="L4" s="5">
        <v>0.72067039106145248</v>
      </c>
      <c r="M4" s="5" t="s">
        <v>68</v>
      </c>
      <c r="N4" s="5">
        <v>0.62052505966587113</v>
      </c>
      <c r="O4" s="5">
        <v>0.50980392156862742</v>
      </c>
      <c r="P4" s="6">
        <v>0.49187180678123549</v>
      </c>
    </row>
    <row r="5" spans="1:43" ht="25.5" x14ac:dyDescent="0.2">
      <c r="A5" s="45" t="s">
        <v>17</v>
      </c>
      <c r="B5" s="7">
        <v>33.971962616822431</v>
      </c>
      <c r="C5" s="7">
        <v>59.604026845637584</v>
      </c>
      <c r="D5" s="7">
        <v>22.5</v>
      </c>
      <c r="E5" s="7">
        <v>11.5</v>
      </c>
      <c r="F5" s="7">
        <v>31.3943661971831</v>
      </c>
      <c r="G5" s="7">
        <v>1</v>
      </c>
      <c r="H5" s="7">
        <v>19.5</v>
      </c>
      <c r="I5" s="7">
        <v>32.30120481927711</v>
      </c>
      <c r="J5" s="7">
        <v>15.219512195121951</v>
      </c>
      <c r="K5" s="7">
        <v>43.259740259740262</v>
      </c>
      <c r="L5" s="7">
        <v>27.488372093023255</v>
      </c>
      <c r="M5" s="7" t="s">
        <v>68</v>
      </c>
      <c r="N5" s="7">
        <v>31.21153846153846</v>
      </c>
      <c r="O5" s="7">
        <v>27.115384615384617</v>
      </c>
      <c r="P5" s="8">
        <v>34.941454202077431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43" ht="34.5" customHeight="1" x14ac:dyDescent="0.2">
      <c r="A2" s="1" t="s">
        <v>39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505</v>
      </c>
      <c r="C3" s="2">
        <v>840</v>
      </c>
      <c r="D3" s="2">
        <v>199</v>
      </c>
      <c r="E3" s="2">
        <v>269</v>
      </c>
      <c r="F3" s="2">
        <v>375</v>
      </c>
      <c r="G3" s="2">
        <v>1313</v>
      </c>
      <c r="H3" s="2">
        <v>506</v>
      </c>
      <c r="I3" s="2">
        <v>554</v>
      </c>
      <c r="J3" s="2">
        <v>368</v>
      </c>
      <c r="K3" s="2">
        <v>42</v>
      </c>
      <c r="L3" s="2">
        <v>1119</v>
      </c>
      <c r="M3" s="2">
        <v>28</v>
      </c>
      <c r="N3" s="2">
        <v>1031</v>
      </c>
      <c r="O3" s="2">
        <v>451</v>
      </c>
      <c r="P3" s="3">
        <v>7600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0.3801980198019802</v>
      </c>
      <c r="C4" s="5">
        <v>0.84404761904761905</v>
      </c>
      <c r="D4" s="5">
        <v>8.0402010050251257E-2</v>
      </c>
      <c r="E4" s="5">
        <v>0.84386617100371752</v>
      </c>
      <c r="F4" s="5">
        <v>0.98399999999999999</v>
      </c>
      <c r="G4" s="5">
        <v>0.18735719725818736</v>
      </c>
      <c r="H4" s="5">
        <v>0.10276679841897234</v>
      </c>
      <c r="I4" s="5">
        <v>6.3176895306859202E-2</v>
      </c>
      <c r="J4" s="5">
        <v>0.12771739130434784</v>
      </c>
      <c r="K4" s="5">
        <v>0.73809523809523814</v>
      </c>
      <c r="L4" s="5">
        <v>0.66487935656836461</v>
      </c>
      <c r="M4" s="5">
        <v>0.42857142857142855</v>
      </c>
      <c r="N4" s="5">
        <v>0.54510184287099905</v>
      </c>
      <c r="O4" s="5">
        <v>0.41241685144124168</v>
      </c>
      <c r="P4" s="6">
        <v>0.45105263157894737</v>
      </c>
    </row>
    <row r="5" spans="1:43" ht="25.5" x14ac:dyDescent="0.2">
      <c r="A5" s="45" t="s">
        <v>17</v>
      </c>
      <c r="B5" s="7">
        <v>36.734375</v>
      </c>
      <c r="C5" s="7">
        <v>50.337094499294778</v>
      </c>
      <c r="D5" s="7">
        <v>36.3125</v>
      </c>
      <c r="E5" s="7">
        <v>86.779735682819378</v>
      </c>
      <c r="F5" s="7">
        <v>41.528455284552848</v>
      </c>
      <c r="G5" s="7">
        <v>52.841463414634148</v>
      </c>
      <c r="H5" s="7">
        <v>8.4230769230769234</v>
      </c>
      <c r="I5" s="7">
        <v>55.314285714285717</v>
      </c>
      <c r="J5" s="7">
        <v>17.723404255319149</v>
      </c>
      <c r="K5" s="7">
        <v>27.580645161290324</v>
      </c>
      <c r="L5" s="7">
        <v>36.372311827956992</v>
      </c>
      <c r="M5" s="7">
        <v>4.083333333333333</v>
      </c>
      <c r="N5" s="7">
        <v>26.106761565836297</v>
      </c>
      <c r="O5" s="7">
        <v>29.344086021505376</v>
      </c>
      <c r="P5" s="8">
        <v>41.612310385064177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40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204</v>
      </c>
      <c r="C3" s="2">
        <v>2339</v>
      </c>
      <c r="D3" s="2">
        <v>531</v>
      </c>
      <c r="E3" s="2">
        <v>486</v>
      </c>
      <c r="F3" s="2">
        <v>37</v>
      </c>
      <c r="G3" s="2">
        <v>1362</v>
      </c>
      <c r="H3" s="2">
        <v>918</v>
      </c>
      <c r="I3" s="2">
        <v>279</v>
      </c>
      <c r="J3" s="2">
        <v>745</v>
      </c>
      <c r="K3" s="2">
        <v>80</v>
      </c>
      <c r="L3" s="2">
        <v>550</v>
      </c>
      <c r="M3" s="2">
        <v>481</v>
      </c>
      <c r="N3" s="2">
        <v>297</v>
      </c>
      <c r="O3" s="2">
        <v>156</v>
      </c>
      <c r="P3" s="3">
        <v>8465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0.47058823529411764</v>
      </c>
      <c r="C4" s="5">
        <v>0.70158187259512617</v>
      </c>
      <c r="D4" s="5">
        <v>0.34274952919020718</v>
      </c>
      <c r="E4" s="5">
        <v>0.71604938271604934</v>
      </c>
      <c r="F4" s="5">
        <v>0.6216216216216216</v>
      </c>
      <c r="G4" s="5">
        <v>0.23861967694566813</v>
      </c>
      <c r="H4" s="5">
        <v>0.5</v>
      </c>
      <c r="I4" s="5">
        <v>0.71326164874551967</v>
      </c>
      <c r="J4" s="5">
        <v>0.94765100671140945</v>
      </c>
      <c r="K4" s="5">
        <v>0.82499999999999996</v>
      </c>
      <c r="L4" s="5">
        <v>0.59090909090909094</v>
      </c>
      <c r="M4" s="5">
        <v>0.87318087318087323</v>
      </c>
      <c r="N4" s="5">
        <v>0.57912457912457915</v>
      </c>
      <c r="O4" s="5">
        <v>0.85256410256410253</v>
      </c>
      <c r="P4" s="6">
        <v>0.60189013585351447</v>
      </c>
    </row>
    <row r="5" spans="1:43" ht="25.5" x14ac:dyDescent="0.2">
      <c r="A5" s="45" t="s">
        <v>17</v>
      </c>
      <c r="B5" s="7">
        <v>33.510416666666664</v>
      </c>
      <c r="C5" s="7">
        <v>60.936014625228516</v>
      </c>
      <c r="D5" s="7">
        <v>99.818681318681314</v>
      </c>
      <c r="E5" s="7">
        <v>68.540229885057471</v>
      </c>
      <c r="F5" s="7">
        <v>3.2173913043478262</v>
      </c>
      <c r="G5" s="7">
        <v>54.624615384615382</v>
      </c>
      <c r="H5" s="7">
        <v>54.535947712418299</v>
      </c>
      <c r="I5" s="7">
        <v>29.793969849246231</v>
      </c>
      <c r="J5" s="7">
        <v>94.009915014164307</v>
      </c>
      <c r="K5" s="7">
        <v>11.606060606060606</v>
      </c>
      <c r="L5" s="7">
        <v>11.984615384615385</v>
      </c>
      <c r="M5" s="7">
        <v>46.476190476190474</v>
      </c>
      <c r="N5" s="7">
        <v>7.5813953488372094</v>
      </c>
      <c r="O5" s="7">
        <v>11.654135338345865</v>
      </c>
      <c r="P5" s="8">
        <v>56.413346418056918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41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151</v>
      </c>
      <c r="C3" s="2">
        <v>729</v>
      </c>
      <c r="D3" s="2" t="s">
        <v>68</v>
      </c>
      <c r="E3" s="2" t="s">
        <v>68</v>
      </c>
      <c r="F3" s="2">
        <v>357</v>
      </c>
      <c r="G3" s="2">
        <v>1124</v>
      </c>
      <c r="H3" s="2">
        <v>316</v>
      </c>
      <c r="I3" s="2">
        <v>344</v>
      </c>
      <c r="J3" s="2">
        <v>77</v>
      </c>
      <c r="K3" s="2">
        <v>172</v>
      </c>
      <c r="L3" s="2">
        <v>545</v>
      </c>
      <c r="M3" s="2" t="s">
        <v>68</v>
      </c>
      <c r="N3" s="2">
        <v>530</v>
      </c>
      <c r="O3" s="2">
        <v>178</v>
      </c>
      <c r="P3" s="3">
        <v>4523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0.77483443708609268</v>
      </c>
      <c r="C4" s="5">
        <v>0.79972565157750342</v>
      </c>
      <c r="D4" s="5" t="s">
        <v>68</v>
      </c>
      <c r="E4" s="5" t="s">
        <v>68</v>
      </c>
      <c r="F4" s="5">
        <v>0.92717086834733897</v>
      </c>
      <c r="G4" s="5">
        <v>0.53914590747330959</v>
      </c>
      <c r="H4" s="5">
        <v>0.42721518987341772</v>
      </c>
      <c r="I4" s="5">
        <v>0.57558139534883723</v>
      </c>
      <c r="J4" s="5">
        <v>0.98701298701298701</v>
      </c>
      <c r="K4" s="5">
        <v>0.33720930232558138</v>
      </c>
      <c r="L4" s="5">
        <v>0.47155963302752296</v>
      </c>
      <c r="M4" s="5" t="s">
        <v>68</v>
      </c>
      <c r="N4" s="5">
        <v>0.74905660377358485</v>
      </c>
      <c r="O4" s="5">
        <v>0.7752808988764045</v>
      </c>
      <c r="P4" s="6">
        <v>0.64028299801017019</v>
      </c>
    </row>
    <row r="5" spans="1:43" ht="25.5" x14ac:dyDescent="0.2">
      <c r="A5" s="45" t="s">
        <v>17</v>
      </c>
      <c r="B5" s="7">
        <v>14.811965811965813</v>
      </c>
      <c r="C5" s="7">
        <v>47.075471698113205</v>
      </c>
      <c r="D5" s="7" t="s">
        <v>68</v>
      </c>
      <c r="E5" s="7" t="s">
        <v>68</v>
      </c>
      <c r="F5" s="7">
        <v>97.555891238670696</v>
      </c>
      <c r="G5" s="7">
        <v>35.742574257425744</v>
      </c>
      <c r="H5" s="7">
        <v>40.518518518518519</v>
      </c>
      <c r="I5" s="7">
        <v>168.54545454545453</v>
      </c>
      <c r="J5" s="7">
        <v>26.368421052631579</v>
      </c>
      <c r="K5" s="7">
        <v>20.46551724137931</v>
      </c>
      <c r="L5" s="7">
        <v>60.813229571984436</v>
      </c>
      <c r="M5" s="7" t="s">
        <v>68</v>
      </c>
      <c r="N5" s="7">
        <v>47.559193954659946</v>
      </c>
      <c r="O5" s="7">
        <v>38.528985507246375</v>
      </c>
      <c r="P5" s="8">
        <v>56.971339779005525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2191</v>
      </c>
      <c r="C3" s="2">
        <v>3436</v>
      </c>
      <c r="D3" s="2">
        <v>992</v>
      </c>
      <c r="E3" s="2">
        <v>637</v>
      </c>
      <c r="F3" s="2">
        <v>2702</v>
      </c>
      <c r="G3" s="2">
        <v>3887</v>
      </c>
      <c r="H3" s="2">
        <v>3790</v>
      </c>
      <c r="I3" s="2">
        <v>491</v>
      </c>
      <c r="J3" s="2">
        <v>1717</v>
      </c>
      <c r="K3" s="2">
        <v>1780</v>
      </c>
      <c r="L3" s="2">
        <v>5218</v>
      </c>
      <c r="M3" s="2">
        <v>275</v>
      </c>
      <c r="N3" s="2">
        <v>2548</v>
      </c>
      <c r="O3" s="2">
        <v>2976</v>
      </c>
      <c r="P3" s="3">
        <v>32640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0.74167047010497489</v>
      </c>
      <c r="C4" s="5">
        <v>0.83585564610011642</v>
      </c>
      <c r="D4" s="5">
        <v>0.55846774193548387</v>
      </c>
      <c r="E4" s="5">
        <v>0.73155416012558871</v>
      </c>
      <c r="F4" s="5">
        <v>0.95373797187268694</v>
      </c>
      <c r="G4" s="5">
        <v>0.71674813480833544</v>
      </c>
      <c r="H4" s="5">
        <v>0.19445910290237467</v>
      </c>
      <c r="I4" s="5">
        <v>0.57230142566191444</v>
      </c>
      <c r="J4" s="5">
        <v>0.94933022714036108</v>
      </c>
      <c r="K4" s="5">
        <v>0.93089887640449442</v>
      </c>
      <c r="L4" s="5">
        <v>0.91261019547719435</v>
      </c>
      <c r="M4" s="5">
        <v>0.85090909090909095</v>
      </c>
      <c r="N4" s="5">
        <v>0.72605965463108324</v>
      </c>
      <c r="O4" s="5">
        <v>0.88340053763440862</v>
      </c>
      <c r="P4" s="6">
        <v>0.75551470588235292</v>
      </c>
    </row>
    <row r="5" spans="1:43" ht="25.5" x14ac:dyDescent="0.2">
      <c r="A5" s="45" t="s">
        <v>17</v>
      </c>
      <c r="B5" s="7">
        <v>86.080615384615385</v>
      </c>
      <c r="C5" s="7">
        <v>66.218314763231191</v>
      </c>
      <c r="D5" s="7">
        <v>67.70397111913357</v>
      </c>
      <c r="E5" s="7">
        <v>42.809012875536482</v>
      </c>
      <c r="F5" s="7">
        <v>165.02444703143189</v>
      </c>
      <c r="G5" s="7">
        <v>29.489590811198852</v>
      </c>
      <c r="H5" s="7">
        <v>95.238805970149258</v>
      </c>
      <c r="I5" s="7">
        <v>110.0711743772242</v>
      </c>
      <c r="J5" s="7">
        <v>50.408588957055215</v>
      </c>
      <c r="K5" s="7">
        <v>171.03560651780325</v>
      </c>
      <c r="L5" s="7">
        <v>68.141957160856776</v>
      </c>
      <c r="M5" s="7">
        <v>74.132478632478637</v>
      </c>
      <c r="N5" s="7">
        <v>51.258918918918916</v>
      </c>
      <c r="O5" s="7">
        <v>77.402434385697987</v>
      </c>
      <c r="P5" s="8">
        <v>81.175790754257903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Q11"/>
  <sheetViews>
    <sheetView showGridLines="0" workbookViewId="0">
      <selection activeCell="B3" sqref="B3:P5"/>
    </sheetView>
  </sheetViews>
  <sheetFormatPr baseColWidth="10" defaultRowHeight="12.75" x14ac:dyDescent="0.2"/>
  <cols>
    <col min="1" max="1" width="36.42578125" customWidth="1"/>
    <col min="2" max="15" width="12.7109375" customWidth="1"/>
    <col min="16" max="16" width="11.42578125" style="9"/>
  </cols>
  <sheetData>
    <row r="1" spans="1:43" ht="47.25" customHeight="1" thickBot="1" x14ac:dyDescent="0.25">
      <c r="A1" s="83" t="s">
        <v>71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43" ht="34.5" customHeight="1" x14ac:dyDescent="0.2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43" s="4" customFormat="1" ht="26.1" customHeight="1" x14ac:dyDescent="0.2">
      <c r="A3" s="43" t="s">
        <v>15</v>
      </c>
      <c r="B3" s="2">
        <v>702</v>
      </c>
      <c r="C3" s="2">
        <v>1356</v>
      </c>
      <c r="D3" s="2">
        <v>206</v>
      </c>
      <c r="E3" s="2">
        <v>327</v>
      </c>
      <c r="F3" s="2">
        <v>971</v>
      </c>
      <c r="G3" s="2">
        <v>1363</v>
      </c>
      <c r="H3" s="2">
        <v>1356</v>
      </c>
      <c r="I3" s="2">
        <v>93</v>
      </c>
      <c r="J3" s="2">
        <v>217</v>
      </c>
      <c r="K3" s="2">
        <v>550</v>
      </c>
      <c r="L3" s="2">
        <v>859</v>
      </c>
      <c r="M3" s="2">
        <v>256</v>
      </c>
      <c r="N3" s="2">
        <v>946</v>
      </c>
      <c r="O3" s="2">
        <v>241</v>
      </c>
      <c r="P3" s="3">
        <v>9443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ht="35.25" customHeight="1" x14ac:dyDescent="0.2">
      <c r="A4" s="44" t="s">
        <v>16</v>
      </c>
      <c r="B4" s="5">
        <v>0.88319088319088324</v>
      </c>
      <c r="C4" s="5">
        <v>0.88864306784660763</v>
      </c>
      <c r="D4" s="5">
        <v>0.58252427184466016</v>
      </c>
      <c r="E4" s="5">
        <v>0.77981651376146788</v>
      </c>
      <c r="F4" s="5">
        <v>0.90834191555097832</v>
      </c>
      <c r="G4" s="5">
        <v>0.77402787967718267</v>
      </c>
      <c r="H4" s="5">
        <v>0.76843657817109146</v>
      </c>
      <c r="I4" s="5">
        <v>0.91397849462365588</v>
      </c>
      <c r="J4" s="5">
        <v>0.98156682027649766</v>
      </c>
      <c r="K4" s="5">
        <v>0.98545454545454547</v>
      </c>
      <c r="L4" s="5">
        <v>0.52502910360884747</v>
      </c>
      <c r="M4" s="5">
        <v>0.80859375</v>
      </c>
      <c r="N4" s="5">
        <v>0.7441860465116279</v>
      </c>
      <c r="O4" s="5">
        <v>0.96265560165975106</v>
      </c>
      <c r="P4" s="6">
        <v>0.80620565498252672</v>
      </c>
    </row>
    <row r="5" spans="1:43" ht="25.5" x14ac:dyDescent="0.2">
      <c r="A5" s="45" t="s">
        <v>17</v>
      </c>
      <c r="B5" s="7">
        <v>48.332258064516132</v>
      </c>
      <c r="C5" s="7">
        <v>65.803319502074686</v>
      </c>
      <c r="D5" s="7">
        <v>126.06666666666666</v>
      </c>
      <c r="E5" s="7">
        <v>95.207843137254898</v>
      </c>
      <c r="F5" s="7">
        <v>136.35600907029479</v>
      </c>
      <c r="G5" s="7">
        <v>41.157345971563984</v>
      </c>
      <c r="H5" s="7">
        <v>70.656429942418427</v>
      </c>
      <c r="I5" s="7">
        <v>88.6</v>
      </c>
      <c r="J5" s="7">
        <v>52.436619718309856</v>
      </c>
      <c r="K5" s="7">
        <v>71.123616236162363</v>
      </c>
      <c r="L5" s="7">
        <v>42.494456762749444</v>
      </c>
      <c r="M5" s="7">
        <v>30.280193236714975</v>
      </c>
      <c r="N5" s="7">
        <v>34.954545454545453</v>
      </c>
      <c r="O5" s="7">
        <v>54.706896551724135</v>
      </c>
      <c r="P5" s="8">
        <v>66.459739918560359</v>
      </c>
    </row>
    <row r="8" spans="1:43" ht="15" x14ac:dyDescent="0.25">
      <c r="B8" s="31"/>
    </row>
    <row r="9" spans="1:43" ht="15" x14ac:dyDescent="0.25">
      <c r="B9" s="31"/>
    </row>
    <row r="10" spans="1:43" ht="15" x14ac:dyDescent="0.25">
      <c r="B10" s="31"/>
    </row>
    <row r="11" spans="1:43" ht="15" x14ac:dyDescent="0.25">
      <c r="B11" s="31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40"/>
  <sheetViews>
    <sheetView tabSelected="1" topLeftCell="G2" zoomScale="80" zoomScaleNormal="80" workbookViewId="0">
      <selection activeCell="S2" sqref="S1:AT1048576"/>
    </sheetView>
  </sheetViews>
  <sheetFormatPr baseColWidth="10" defaultRowHeight="12.75" x14ac:dyDescent="0.2"/>
  <cols>
    <col min="1" max="1" width="34.85546875" customWidth="1"/>
    <col min="2" max="15" width="11.42578125" customWidth="1"/>
  </cols>
  <sheetData>
    <row r="1" spans="1:16" ht="18.75" x14ac:dyDescent="0.3">
      <c r="A1" s="32" t="s">
        <v>65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8.75" x14ac:dyDescent="0.3">
      <c r="A2" s="32" t="s">
        <v>72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ht="15" x14ac:dyDescent="0.2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5.5" x14ac:dyDescent="0.2">
      <c r="A4" s="36" t="s">
        <v>63</v>
      </c>
      <c r="B4" s="37" t="s">
        <v>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37" t="s">
        <v>8</v>
      </c>
      <c r="K4" s="37" t="s">
        <v>9</v>
      </c>
      <c r="L4" s="37" t="s">
        <v>10</v>
      </c>
      <c r="M4" s="37" t="s">
        <v>11</v>
      </c>
      <c r="N4" s="37" t="s">
        <v>12</v>
      </c>
      <c r="O4" s="54" t="s">
        <v>13</v>
      </c>
      <c r="P4" s="58" t="s">
        <v>14</v>
      </c>
    </row>
    <row r="5" spans="1:16" x14ac:dyDescent="0.2">
      <c r="A5" s="51" t="s">
        <v>45</v>
      </c>
      <c r="B5" s="52"/>
      <c r="C5" s="52">
        <v>3</v>
      </c>
      <c r="D5" s="52"/>
      <c r="E5" s="52"/>
      <c r="F5" s="52"/>
      <c r="G5" s="52"/>
      <c r="H5" s="52"/>
      <c r="I5" s="52">
        <v>511</v>
      </c>
      <c r="J5" s="52">
        <v>60</v>
      </c>
      <c r="K5" s="52"/>
      <c r="L5" s="52"/>
      <c r="M5" s="52"/>
      <c r="N5" s="52"/>
      <c r="O5" s="55">
        <v>5</v>
      </c>
      <c r="P5" s="59">
        <f>SUM(B5:O5)</f>
        <v>579</v>
      </c>
    </row>
    <row r="6" spans="1:16" x14ac:dyDescent="0.2">
      <c r="A6" s="38" t="s">
        <v>46</v>
      </c>
      <c r="B6" s="39"/>
      <c r="C6" s="39"/>
      <c r="D6" s="39"/>
      <c r="E6" s="39"/>
      <c r="F6" s="39">
        <v>68</v>
      </c>
      <c r="G6" s="39"/>
      <c r="H6" s="39"/>
      <c r="I6" s="39">
        <v>520</v>
      </c>
      <c r="J6" s="39"/>
      <c r="K6" s="39"/>
      <c r="L6" s="39"/>
      <c r="M6" s="39">
        <v>5</v>
      </c>
      <c r="N6" s="39"/>
      <c r="O6" s="56">
        <v>20</v>
      </c>
      <c r="P6" s="60">
        <f t="shared" ref="P6:P38" si="0">SUM(B6:O6)</f>
        <v>613</v>
      </c>
    </row>
    <row r="7" spans="1:16" x14ac:dyDescent="0.2">
      <c r="A7" s="38" t="s">
        <v>18</v>
      </c>
      <c r="B7" s="39"/>
      <c r="C7" s="39"/>
      <c r="D7" s="39"/>
      <c r="E7" s="39"/>
      <c r="F7" s="39"/>
      <c r="G7" s="39"/>
      <c r="H7" s="39"/>
      <c r="I7" s="39">
        <v>987</v>
      </c>
      <c r="J7" s="39"/>
      <c r="K7" s="39"/>
      <c r="L7" s="39"/>
      <c r="M7" s="39"/>
      <c r="N7" s="39">
        <v>62</v>
      </c>
      <c r="O7" s="56"/>
      <c r="P7" s="60">
        <f t="shared" si="0"/>
        <v>1049</v>
      </c>
    </row>
    <row r="8" spans="1:16" x14ac:dyDescent="0.2">
      <c r="A8" s="38" t="s">
        <v>19</v>
      </c>
      <c r="B8" s="39"/>
      <c r="C8" s="39">
        <v>4</v>
      </c>
      <c r="D8" s="39"/>
      <c r="E8" s="39">
        <v>10</v>
      </c>
      <c r="F8" s="39">
        <v>952</v>
      </c>
      <c r="G8" s="39"/>
      <c r="H8" s="39"/>
      <c r="I8" s="39">
        <v>31</v>
      </c>
      <c r="J8" s="39">
        <v>338</v>
      </c>
      <c r="K8" s="39">
        <v>1</v>
      </c>
      <c r="L8" s="39"/>
      <c r="M8" s="39">
        <v>273</v>
      </c>
      <c r="N8" s="39"/>
      <c r="O8" s="56"/>
      <c r="P8" s="60">
        <f t="shared" si="0"/>
        <v>1609</v>
      </c>
    </row>
    <row r="9" spans="1:16" x14ac:dyDescent="0.2">
      <c r="A9" s="38" t="s">
        <v>20</v>
      </c>
      <c r="B9" s="39"/>
      <c r="C9" s="39"/>
      <c r="D9" s="39"/>
      <c r="E9" s="39"/>
      <c r="F9" s="39"/>
      <c r="G9" s="39"/>
      <c r="H9" s="39"/>
      <c r="I9" s="39">
        <v>1</v>
      </c>
      <c r="J9" s="39"/>
      <c r="K9" s="39"/>
      <c r="L9" s="39"/>
      <c r="M9" s="39"/>
      <c r="N9" s="39"/>
      <c r="O9" s="56"/>
      <c r="P9" s="60">
        <f t="shared" si="0"/>
        <v>1</v>
      </c>
    </row>
    <row r="10" spans="1:16" ht="15.75" customHeight="1" x14ac:dyDescent="0.2">
      <c r="A10" s="38" t="s">
        <v>48</v>
      </c>
      <c r="B10" s="39"/>
      <c r="C10" s="39">
        <v>1</v>
      </c>
      <c r="D10" s="39"/>
      <c r="E10" s="39">
        <v>2</v>
      </c>
      <c r="F10" s="39">
        <v>941</v>
      </c>
      <c r="G10" s="39"/>
      <c r="H10" s="39"/>
      <c r="I10" s="39">
        <v>534</v>
      </c>
      <c r="J10" s="39">
        <v>33</v>
      </c>
      <c r="K10" s="39"/>
      <c r="L10" s="39"/>
      <c r="M10" s="39">
        <v>174</v>
      </c>
      <c r="N10" s="39"/>
      <c r="O10" s="56">
        <v>98</v>
      </c>
      <c r="P10" s="60">
        <f t="shared" si="0"/>
        <v>1783</v>
      </c>
    </row>
    <row r="11" spans="1:16" x14ac:dyDescent="0.2">
      <c r="A11" s="38" t="s">
        <v>21</v>
      </c>
      <c r="B11" s="39"/>
      <c r="C11" s="39"/>
      <c r="D11" s="39"/>
      <c r="E11" s="39"/>
      <c r="F11" s="39"/>
      <c r="G11" s="39"/>
      <c r="H11" s="39"/>
      <c r="I11" s="39">
        <v>316</v>
      </c>
      <c r="J11" s="39"/>
      <c r="K11" s="39"/>
      <c r="L11" s="39"/>
      <c r="M11" s="39"/>
      <c r="N11" s="39"/>
      <c r="O11" s="56"/>
      <c r="P11" s="60">
        <f t="shared" si="0"/>
        <v>316</v>
      </c>
    </row>
    <row r="12" spans="1:16" x14ac:dyDescent="0.2">
      <c r="A12" s="38" t="s">
        <v>22</v>
      </c>
      <c r="B12" s="39"/>
      <c r="C12" s="39"/>
      <c r="D12" s="39"/>
      <c r="E12" s="39"/>
      <c r="F12" s="39"/>
      <c r="G12" s="39"/>
      <c r="H12" s="39"/>
      <c r="I12" s="39">
        <v>2</v>
      </c>
      <c r="J12" s="39"/>
      <c r="K12" s="39"/>
      <c r="L12" s="39"/>
      <c r="M12" s="39"/>
      <c r="N12" s="39"/>
      <c r="O12" s="56"/>
      <c r="P12" s="60">
        <f t="shared" si="0"/>
        <v>2</v>
      </c>
    </row>
    <row r="13" spans="1:16" x14ac:dyDescent="0.2">
      <c r="A13" s="38" t="s">
        <v>61</v>
      </c>
      <c r="B13" s="39"/>
      <c r="C13" s="39">
        <v>9</v>
      </c>
      <c r="D13" s="39"/>
      <c r="E13" s="39"/>
      <c r="F13" s="39"/>
      <c r="G13" s="39"/>
      <c r="H13" s="39"/>
      <c r="I13" s="39">
        <v>12</v>
      </c>
      <c r="J13" s="39"/>
      <c r="K13" s="39"/>
      <c r="L13" s="39"/>
      <c r="M13" s="39"/>
      <c r="N13" s="39"/>
      <c r="O13" s="56"/>
      <c r="P13" s="60">
        <f t="shared" si="0"/>
        <v>21</v>
      </c>
    </row>
    <row r="14" spans="1:16" x14ac:dyDescent="0.2">
      <c r="A14" s="38" t="s">
        <v>23</v>
      </c>
      <c r="B14" s="39"/>
      <c r="C14" s="39"/>
      <c r="D14" s="39"/>
      <c r="E14" s="39"/>
      <c r="F14" s="39"/>
      <c r="G14" s="39"/>
      <c r="H14" s="39"/>
      <c r="I14" s="39">
        <v>3</v>
      </c>
      <c r="J14" s="39"/>
      <c r="K14" s="39"/>
      <c r="L14" s="39"/>
      <c r="M14" s="39"/>
      <c r="N14" s="39"/>
      <c r="O14" s="56"/>
      <c r="P14" s="60">
        <f t="shared" si="0"/>
        <v>3</v>
      </c>
    </row>
    <row r="15" spans="1:16" x14ac:dyDescent="0.2">
      <c r="A15" s="38" t="s">
        <v>24</v>
      </c>
      <c r="B15" s="39"/>
      <c r="C15" s="39">
        <v>31</v>
      </c>
      <c r="D15" s="39"/>
      <c r="E15" s="39">
        <v>5</v>
      </c>
      <c r="F15" s="39">
        <v>64</v>
      </c>
      <c r="G15" s="39"/>
      <c r="H15" s="39"/>
      <c r="I15" s="39">
        <v>1049</v>
      </c>
      <c r="J15" s="39">
        <v>9</v>
      </c>
      <c r="K15" s="39"/>
      <c r="L15" s="39"/>
      <c r="M15" s="39"/>
      <c r="N15" s="39">
        <v>7</v>
      </c>
      <c r="O15" s="56"/>
      <c r="P15" s="60">
        <f t="shared" si="0"/>
        <v>1165</v>
      </c>
    </row>
    <row r="16" spans="1:16" x14ac:dyDescent="0.2">
      <c r="A16" s="38" t="s">
        <v>25</v>
      </c>
      <c r="B16" s="39"/>
      <c r="C16" s="39">
        <v>6</v>
      </c>
      <c r="D16" s="39"/>
      <c r="E16" s="39">
        <v>5</v>
      </c>
      <c r="F16" s="39">
        <v>1026</v>
      </c>
      <c r="G16" s="39">
        <v>1</v>
      </c>
      <c r="H16" s="39"/>
      <c r="I16" s="39">
        <v>1396</v>
      </c>
      <c r="J16" s="39">
        <v>41</v>
      </c>
      <c r="K16" s="39"/>
      <c r="L16" s="39"/>
      <c r="M16" s="39">
        <v>3</v>
      </c>
      <c r="N16" s="39">
        <v>175</v>
      </c>
      <c r="O16" s="56"/>
      <c r="P16" s="60">
        <f t="shared" si="0"/>
        <v>2653</v>
      </c>
    </row>
    <row r="17" spans="1:16" x14ac:dyDescent="0.2">
      <c r="A17" s="38" t="s">
        <v>26</v>
      </c>
      <c r="B17" s="39"/>
      <c r="C17" s="39">
        <v>5</v>
      </c>
      <c r="D17" s="39"/>
      <c r="E17" s="39"/>
      <c r="F17" s="39">
        <v>237</v>
      </c>
      <c r="G17" s="39"/>
      <c r="H17" s="39"/>
      <c r="I17" s="39">
        <v>16</v>
      </c>
      <c r="J17" s="39">
        <v>19</v>
      </c>
      <c r="K17" s="39"/>
      <c r="L17" s="39"/>
      <c r="M17" s="39"/>
      <c r="N17" s="39">
        <v>1</v>
      </c>
      <c r="O17" s="56">
        <v>255</v>
      </c>
      <c r="P17" s="60">
        <f t="shared" si="0"/>
        <v>533</v>
      </c>
    </row>
    <row r="18" spans="1:16" x14ac:dyDescent="0.2">
      <c r="A18" s="38" t="s">
        <v>27</v>
      </c>
      <c r="B18" s="39"/>
      <c r="C18" s="39"/>
      <c r="D18" s="39"/>
      <c r="E18" s="39"/>
      <c r="F18" s="39"/>
      <c r="G18" s="39"/>
      <c r="H18" s="39"/>
      <c r="I18" s="39"/>
      <c r="J18" s="39">
        <v>70</v>
      </c>
      <c r="K18" s="39"/>
      <c r="L18" s="39"/>
      <c r="M18" s="39"/>
      <c r="N18" s="39"/>
      <c r="O18" s="56"/>
      <c r="P18" s="60">
        <f t="shared" si="0"/>
        <v>70</v>
      </c>
    </row>
    <row r="19" spans="1:16" x14ac:dyDescent="0.2">
      <c r="A19" s="38" t="s">
        <v>28</v>
      </c>
      <c r="B19" s="39"/>
      <c r="C19" s="39">
        <v>27</v>
      </c>
      <c r="D19" s="39"/>
      <c r="E19" s="39">
        <v>6</v>
      </c>
      <c r="F19" s="39">
        <v>815</v>
      </c>
      <c r="G19" s="39"/>
      <c r="H19" s="39"/>
      <c r="I19" s="39">
        <v>26</v>
      </c>
      <c r="J19" s="39">
        <v>21</v>
      </c>
      <c r="K19" s="39"/>
      <c r="L19" s="39"/>
      <c r="M19" s="39">
        <v>253</v>
      </c>
      <c r="N19" s="39">
        <v>101</v>
      </c>
      <c r="O19" s="56">
        <v>3</v>
      </c>
      <c r="P19" s="60">
        <f t="shared" si="0"/>
        <v>1252</v>
      </c>
    </row>
    <row r="20" spans="1:16" x14ac:dyDescent="0.2">
      <c r="A20" s="38" t="s">
        <v>29</v>
      </c>
      <c r="B20" s="39"/>
      <c r="C20" s="39"/>
      <c r="D20" s="39"/>
      <c r="E20" s="39">
        <v>1</v>
      </c>
      <c r="F20" s="39">
        <v>9</v>
      </c>
      <c r="G20" s="39"/>
      <c r="H20" s="39"/>
      <c r="I20" s="39">
        <v>2</v>
      </c>
      <c r="J20" s="39">
        <v>11</v>
      </c>
      <c r="K20" s="39"/>
      <c r="L20" s="39"/>
      <c r="M20" s="39"/>
      <c r="N20" s="39"/>
      <c r="O20" s="56"/>
      <c r="P20" s="60">
        <f t="shared" si="0"/>
        <v>23</v>
      </c>
    </row>
    <row r="21" spans="1:16" x14ac:dyDescent="0.2">
      <c r="A21" s="38" t="s">
        <v>30</v>
      </c>
      <c r="B21" s="39"/>
      <c r="C21" s="39">
        <v>3</v>
      </c>
      <c r="D21" s="39"/>
      <c r="E21" s="39">
        <v>4</v>
      </c>
      <c r="F21" s="39">
        <v>44</v>
      </c>
      <c r="G21" s="39"/>
      <c r="H21" s="39"/>
      <c r="I21" s="39">
        <v>50</v>
      </c>
      <c r="J21" s="39">
        <v>1</v>
      </c>
      <c r="K21" s="39"/>
      <c r="L21" s="39"/>
      <c r="M21" s="39">
        <v>21</v>
      </c>
      <c r="N21" s="39"/>
      <c r="O21" s="56">
        <v>8</v>
      </c>
      <c r="P21" s="60">
        <f t="shared" si="0"/>
        <v>131</v>
      </c>
    </row>
    <row r="22" spans="1:16" x14ac:dyDescent="0.2">
      <c r="A22" s="38" t="s">
        <v>69</v>
      </c>
      <c r="B22" s="39"/>
      <c r="C22" s="39"/>
      <c r="D22" s="39"/>
      <c r="E22" s="39"/>
      <c r="F22" s="39">
        <v>86</v>
      </c>
      <c r="G22" s="39"/>
      <c r="H22" s="39"/>
      <c r="I22" s="39">
        <v>3</v>
      </c>
      <c r="J22" s="39"/>
      <c r="K22" s="39"/>
      <c r="L22" s="39"/>
      <c r="M22" s="39"/>
      <c r="N22" s="39"/>
      <c r="O22" s="56"/>
      <c r="P22" s="60">
        <f t="shared" si="0"/>
        <v>89</v>
      </c>
    </row>
    <row r="23" spans="1:16" ht="14.25" customHeight="1" x14ac:dyDescent="0.2">
      <c r="A23" s="38" t="s">
        <v>31</v>
      </c>
      <c r="B23" s="39"/>
      <c r="C23" s="39">
        <v>2</v>
      </c>
      <c r="D23" s="39"/>
      <c r="E23" s="39"/>
      <c r="F23" s="39">
        <v>11</v>
      </c>
      <c r="G23" s="39"/>
      <c r="H23" s="39"/>
      <c r="I23" s="39">
        <v>33</v>
      </c>
      <c r="J23" s="39">
        <v>10</v>
      </c>
      <c r="K23" s="39"/>
      <c r="L23" s="39"/>
      <c r="M23" s="39"/>
      <c r="N23" s="39"/>
      <c r="O23" s="56"/>
      <c r="P23" s="60">
        <f t="shared" si="0"/>
        <v>56</v>
      </c>
    </row>
    <row r="24" spans="1:16" x14ac:dyDescent="0.2">
      <c r="A24" s="38" t="s">
        <v>66</v>
      </c>
      <c r="B24" s="39"/>
      <c r="C24" s="39"/>
      <c r="D24" s="39"/>
      <c r="E24" s="39"/>
      <c r="F24" s="39">
        <v>1</v>
      </c>
      <c r="G24" s="39"/>
      <c r="H24" s="39"/>
      <c r="I24" s="39"/>
      <c r="J24" s="39"/>
      <c r="K24" s="39"/>
      <c r="L24" s="39"/>
      <c r="M24" s="39"/>
      <c r="N24" s="39"/>
      <c r="O24" s="56"/>
      <c r="P24" s="60">
        <f t="shared" si="0"/>
        <v>1</v>
      </c>
    </row>
    <row r="25" spans="1:16" x14ac:dyDescent="0.2">
      <c r="A25" s="38" t="s">
        <v>32</v>
      </c>
      <c r="B25" s="39"/>
      <c r="C25" s="39">
        <v>4</v>
      </c>
      <c r="D25" s="39"/>
      <c r="E25" s="39"/>
      <c r="F25" s="39">
        <v>229</v>
      </c>
      <c r="G25" s="39"/>
      <c r="H25" s="39"/>
      <c r="I25" s="39">
        <v>722</v>
      </c>
      <c r="J25" s="39">
        <v>96</v>
      </c>
      <c r="K25" s="39">
        <v>596</v>
      </c>
      <c r="L25" s="39"/>
      <c r="M25" s="39"/>
      <c r="N25" s="39">
        <v>3</v>
      </c>
      <c r="O25" s="56"/>
      <c r="P25" s="60">
        <f t="shared" si="0"/>
        <v>1650</v>
      </c>
    </row>
    <row r="26" spans="1:16" x14ac:dyDescent="0.2">
      <c r="A26" s="38" t="s">
        <v>33</v>
      </c>
      <c r="B26" s="39"/>
      <c r="C26" s="39"/>
      <c r="D26" s="39"/>
      <c r="E26" s="39"/>
      <c r="F26" s="39"/>
      <c r="G26" s="39"/>
      <c r="H26" s="39"/>
      <c r="I26" s="39">
        <v>12</v>
      </c>
      <c r="J26" s="39"/>
      <c r="K26" s="39"/>
      <c r="L26" s="39"/>
      <c r="M26" s="39"/>
      <c r="N26" s="39">
        <v>14</v>
      </c>
      <c r="O26" s="56"/>
      <c r="P26" s="60">
        <f t="shared" si="0"/>
        <v>26</v>
      </c>
    </row>
    <row r="27" spans="1:16" x14ac:dyDescent="0.2">
      <c r="A27" s="38" t="s">
        <v>34</v>
      </c>
      <c r="B27" s="39"/>
      <c r="C27" s="39">
        <v>18</v>
      </c>
      <c r="D27" s="39"/>
      <c r="E27" s="39"/>
      <c r="F27" s="39">
        <v>513</v>
      </c>
      <c r="G27" s="39"/>
      <c r="H27" s="39"/>
      <c r="I27" s="39">
        <v>816</v>
      </c>
      <c r="J27" s="39">
        <v>389</v>
      </c>
      <c r="K27" s="39"/>
      <c r="L27" s="39"/>
      <c r="M27" s="39"/>
      <c r="N27" s="39">
        <v>16</v>
      </c>
      <c r="O27" s="56">
        <v>325</v>
      </c>
      <c r="P27" s="60">
        <f t="shared" si="0"/>
        <v>2077</v>
      </c>
    </row>
    <row r="28" spans="1:16" x14ac:dyDescent="0.2">
      <c r="A28" s="38" t="s">
        <v>57</v>
      </c>
      <c r="B28" s="39"/>
      <c r="C28" s="39"/>
      <c r="D28" s="39"/>
      <c r="E28" s="39"/>
      <c r="F28" s="39">
        <v>1</v>
      </c>
      <c r="G28" s="39"/>
      <c r="H28" s="39"/>
      <c r="I28" s="39">
        <v>49</v>
      </c>
      <c r="J28" s="39">
        <v>1</v>
      </c>
      <c r="K28" s="39"/>
      <c r="L28" s="39"/>
      <c r="M28" s="39">
        <v>1</v>
      </c>
      <c r="N28" s="39"/>
      <c r="O28" s="56"/>
      <c r="P28" s="60">
        <f t="shared" si="0"/>
        <v>52</v>
      </c>
    </row>
    <row r="29" spans="1:16" x14ac:dyDescent="0.2">
      <c r="A29" s="38" t="s">
        <v>36</v>
      </c>
      <c r="B29" s="39"/>
      <c r="C29" s="39">
        <v>37</v>
      </c>
      <c r="D29" s="39"/>
      <c r="E29" s="39">
        <v>10</v>
      </c>
      <c r="F29" s="39">
        <v>2209</v>
      </c>
      <c r="G29" s="39"/>
      <c r="H29" s="39"/>
      <c r="I29" s="39">
        <v>5489</v>
      </c>
      <c r="J29" s="39">
        <v>42</v>
      </c>
      <c r="K29" s="39"/>
      <c r="L29" s="39"/>
      <c r="M29" s="39">
        <v>421</v>
      </c>
      <c r="N29" s="39"/>
      <c r="O29" s="56"/>
      <c r="P29" s="60">
        <f t="shared" si="0"/>
        <v>8208</v>
      </c>
    </row>
    <row r="30" spans="1:16" x14ac:dyDescent="0.2">
      <c r="A30" s="38" t="s">
        <v>53</v>
      </c>
      <c r="B30" s="39"/>
      <c r="C30" s="39"/>
      <c r="D30" s="39"/>
      <c r="E30" s="39">
        <v>1</v>
      </c>
      <c r="F30" s="39"/>
      <c r="G30" s="39"/>
      <c r="H30" s="39"/>
      <c r="I30" s="39">
        <v>2</v>
      </c>
      <c r="J30" s="39">
        <v>2</v>
      </c>
      <c r="K30" s="39"/>
      <c r="L30" s="39"/>
      <c r="M30" s="39"/>
      <c r="N30" s="39"/>
      <c r="O30" s="56">
        <v>1</v>
      </c>
      <c r="P30" s="60">
        <f t="shared" si="0"/>
        <v>6</v>
      </c>
    </row>
    <row r="31" spans="1:16" x14ac:dyDescent="0.2">
      <c r="A31" s="38" t="s">
        <v>37</v>
      </c>
      <c r="B31" s="39"/>
      <c r="C31" s="39">
        <v>29</v>
      </c>
      <c r="D31" s="39"/>
      <c r="E31" s="39">
        <v>3</v>
      </c>
      <c r="F31" s="39">
        <v>119</v>
      </c>
      <c r="G31" s="39"/>
      <c r="H31" s="39"/>
      <c r="I31" s="39">
        <v>769</v>
      </c>
      <c r="J31" s="39">
        <v>158</v>
      </c>
      <c r="K31" s="39"/>
      <c r="L31" s="39"/>
      <c r="M31" s="39">
        <v>330</v>
      </c>
      <c r="N31" s="39">
        <v>2</v>
      </c>
      <c r="O31" s="56">
        <v>1</v>
      </c>
      <c r="P31" s="60">
        <f t="shared" si="0"/>
        <v>1411</v>
      </c>
    </row>
    <row r="32" spans="1:16" x14ac:dyDescent="0.2">
      <c r="A32" s="38" t="s">
        <v>38</v>
      </c>
      <c r="B32" s="39"/>
      <c r="C32" s="39">
        <v>3</v>
      </c>
      <c r="D32" s="39"/>
      <c r="E32" s="39"/>
      <c r="F32" s="39"/>
      <c r="G32" s="39"/>
      <c r="H32" s="39"/>
      <c r="I32" s="39">
        <v>59</v>
      </c>
      <c r="J32" s="39">
        <v>25</v>
      </c>
      <c r="K32" s="39"/>
      <c r="L32" s="39"/>
      <c r="M32" s="39">
        <v>2</v>
      </c>
      <c r="N32" s="39">
        <v>3</v>
      </c>
      <c r="O32" s="56"/>
      <c r="P32" s="60">
        <f t="shared" si="0"/>
        <v>92</v>
      </c>
    </row>
    <row r="33" spans="1:16" x14ac:dyDescent="0.2">
      <c r="A33" s="38" t="s">
        <v>39</v>
      </c>
      <c r="B33" s="39"/>
      <c r="C33" s="39">
        <v>14</v>
      </c>
      <c r="D33" s="39"/>
      <c r="E33" s="39">
        <v>4</v>
      </c>
      <c r="F33" s="39">
        <v>1</v>
      </c>
      <c r="G33" s="39"/>
      <c r="H33" s="39"/>
      <c r="I33" s="39">
        <v>95</v>
      </c>
      <c r="J33" s="39"/>
      <c r="K33" s="39"/>
      <c r="L33" s="39"/>
      <c r="M33" s="39"/>
      <c r="N33" s="39">
        <v>1</v>
      </c>
      <c r="O33" s="56">
        <v>1</v>
      </c>
      <c r="P33" s="60">
        <f t="shared" si="0"/>
        <v>116</v>
      </c>
    </row>
    <row r="34" spans="1:16" x14ac:dyDescent="0.2">
      <c r="A34" s="38" t="s">
        <v>40</v>
      </c>
      <c r="B34" s="39"/>
      <c r="C34" s="39">
        <v>11</v>
      </c>
      <c r="D34" s="39"/>
      <c r="E34" s="39">
        <v>23</v>
      </c>
      <c r="F34" s="39">
        <v>3172</v>
      </c>
      <c r="G34" s="39"/>
      <c r="H34" s="39"/>
      <c r="I34" s="39">
        <v>569</v>
      </c>
      <c r="J34" s="39">
        <v>409</v>
      </c>
      <c r="K34" s="39"/>
      <c r="L34" s="39"/>
      <c r="M34" s="39">
        <v>2</v>
      </c>
      <c r="N34" s="39"/>
      <c r="O34" s="56"/>
      <c r="P34" s="60">
        <f t="shared" si="0"/>
        <v>4186</v>
      </c>
    </row>
    <row r="35" spans="1:16" x14ac:dyDescent="0.2">
      <c r="A35" s="38" t="s">
        <v>41</v>
      </c>
      <c r="B35" s="39"/>
      <c r="C35" s="39">
        <v>4</v>
      </c>
      <c r="D35" s="39"/>
      <c r="E35" s="39"/>
      <c r="F35" s="39">
        <v>240</v>
      </c>
      <c r="G35" s="39"/>
      <c r="H35" s="39"/>
      <c r="I35" s="39">
        <v>787</v>
      </c>
      <c r="J35" s="39">
        <v>14</v>
      </c>
      <c r="K35" s="39">
        <v>1</v>
      </c>
      <c r="L35" s="39"/>
      <c r="M35" s="39"/>
      <c r="N35" s="39"/>
      <c r="O35" s="56"/>
      <c r="P35" s="60">
        <f t="shared" si="0"/>
        <v>1046</v>
      </c>
    </row>
    <row r="36" spans="1:16" x14ac:dyDescent="0.2">
      <c r="A36" s="38" t="s">
        <v>58</v>
      </c>
      <c r="B36" s="39">
        <v>1</v>
      </c>
      <c r="C36" s="39">
        <v>27</v>
      </c>
      <c r="D36" s="39"/>
      <c r="E36" s="39">
        <v>72</v>
      </c>
      <c r="F36" s="39">
        <v>1846</v>
      </c>
      <c r="G36" s="39"/>
      <c r="H36" s="39"/>
      <c r="I36" s="39">
        <v>4863</v>
      </c>
      <c r="J36" s="39">
        <v>88</v>
      </c>
      <c r="K36" s="39"/>
      <c r="L36" s="39">
        <v>17</v>
      </c>
      <c r="M36" s="39">
        <v>870</v>
      </c>
      <c r="N36" s="39">
        <v>93</v>
      </c>
      <c r="O36" s="56">
        <v>1</v>
      </c>
      <c r="P36" s="60">
        <f t="shared" si="0"/>
        <v>7878</v>
      </c>
    </row>
    <row r="37" spans="1:16" x14ac:dyDescent="0.2">
      <c r="A37" s="47" t="s">
        <v>42</v>
      </c>
      <c r="B37" s="48"/>
      <c r="C37" s="48">
        <v>1</v>
      </c>
      <c r="D37" s="48"/>
      <c r="E37" s="48">
        <v>24</v>
      </c>
      <c r="F37" s="48">
        <v>55</v>
      </c>
      <c r="G37" s="48"/>
      <c r="H37" s="48"/>
      <c r="I37" s="48">
        <v>2306</v>
      </c>
      <c r="J37" s="48">
        <v>246</v>
      </c>
      <c r="K37" s="48"/>
      <c r="L37" s="48"/>
      <c r="M37" s="48">
        <v>2</v>
      </c>
      <c r="N37" s="48"/>
      <c r="O37" s="57">
        <v>290</v>
      </c>
      <c r="P37" s="61">
        <f t="shared" si="0"/>
        <v>2924</v>
      </c>
    </row>
    <row r="38" spans="1:16" x14ac:dyDescent="0.2">
      <c r="A38" s="53" t="s">
        <v>67</v>
      </c>
      <c r="B38" s="46"/>
      <c r="C38" s="46"/>
      <c r="D38" s="46"/>
      <c r="E38" s="46"/>
      <c r="F38" s="46"/>
      <c r="G38" s="46"/>
      <c r="H38" s="46"/>
      <c r="I38" s="46">
        <v>118</v>
      </c>
      <c r="J38" s="46"/>
      <c r="K38" s="46"/>
      <c r="L38" s="46"/>
      <c r="M38" s="46"/>
      <c r="N38" s="46"/>
      <c r="O38" s="46"/>
      <c r="P38" s="61">
        <f t="shared" si="0"/>
        <v>118</v>
      </c>
    </row>
    <row r="39" spans="1:16" ht="15.75" x14ac:dyDescent="0.2">
      <c r="A39" s="49" t="s">
        <v>64</v>
      </c>
      <c r="B39" s="50">
        <f>SUM(B5:B38)</f>
        <v>1</v>
      </c>
      <c r="C39" s="50">
        <f t="shared" ref="C39:P39" si="1">SUM(C5:C38)</f>
        <v>239</v>
      </c>
      <c r="D39" s="50">
        <f t="shared" si="1"/>
        <v>0</v>
      </c>
      <c r="E39" s="50">
        <f t="shared" si="1"/>
        <v>170</v>
      </c>
      <c r="F39" s="50">
        <f t="shared" si="1"/>
        <v>12639</v>
      </c>
      <c r="G39" s="50">
        <f t="shared" si="1"/>
        <v>1</v>
      </c>
      <c r="H39" s="50">
        <f t="shared" si="1"/>
        <v>0</v>
      </c>
      <c r="I39" s="50">
        <f t="shared" si="1"/>
        <v>22148</v>
      </c>
      <c r="J39" s="50">
        <f t="shared" si="1"/>
        <v>2083</v>
      </c>
      <c r="K39" s="50">
        <f t="shared" si="1"/>
        <v>598</v>
      </c>
      <c r="L39" s="50">
        <f t="shared" si="1"/>
        <v>17</v>
      </c>
      <c r="M39" s="50">
        <f t="shared" si="1"/>
        <v>2357</v>
      </c>
      <c r="N39" s="50">
        <f t="shared" si="1"/>
        <v>478</v>
      </c>
      <c r="O39" s="50">
        <f t="shared" si="1"/>
        <v>1008</v>
      </c>
      <c r="P39" s="62">
        <f t="shared" si="1"/>
        <v>41739</v>
      </c>
    </row>
    <row r="40" spans="1:16" ht="15" x14ac:dyDescent="0.25">
      <c r="C40" s="3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TOTAL</vt:lpstr>
      <vt:lpstr>ALG</vt:lpstr>
      <vt:lpstr>ANR</vt:lpstr>
      <vt:lpstr>ACV</vt:lpstr>
      <vt:lpstr>CAR</vt:lpstr>
      <vt:lpstr>CCA</vt:lpstr>
      <vt:lpstr>CGD</vt:lpstr>
      <vt:lpstr>CMF</vt:lpstr>
      <vt:lpstr>CPE</vt:lpstr>
      <vt:lpstr>CPL</vt:lpstr>
      <vt:lpstr>CTO</vt:lpstr>
      <vt:lpstr>DER</vt:lpstr>
      <vt:lpstr>DIG</vt:lpstr>
      <vt:lpstr>END</vt:lpstr>
      <vt:lpstr>GRT</vt:lpstr>
      <vt:lpstr>GIN</vt:lpstr>
      <vt:lpstr>HEM</vt:lpstr>
      <vt:lpstr>MIR</vt:lpstr>
      <vt:lpstr>MPR</vt:lpstr>
      <vt:lpstr>NEF</vt:lpstr>
      <vt:lpstr>NML</vt:lpstr>
      <vt:lpstr>NRC</vt:lpstr>
      <vt:lpstr>NFL</vt:lpstr>
      <vt:lpstr>NRL</vt:lpstr>
      <vt:lpstr>OBS</vt:lpstr>
      <vt:lpstr>OFT</vt:lpstr>
      <vt:lpstr>ONC</vt:lpstr>
      <vt:lpstr>ONR</vt:lpstr>
      <vt:lpstr>ORL</vt:lpstr>
      <vt:lpstr>PED</vt:lpstr>
      <vt:lpstr>PSQ</vt:lpstr>
      <vt:lpstr>REH</vt:lpstr>
      <vt:lpstr>REU</vt:lpstr>
      <vt:lpstr>TRA</vt:lpstr>
      <vt:lpstr>URO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Paniagua Tejo, M Teresa</dc:creator>
  <cp:lastModifiedBy>Paniagua Tejo, M Teresa</cp:lastModifiedBy>
  <cp:lastPrinted>2019-10-15T12:32:06Z</cp:lastPrinted>
  <dcterms:created xsi:type="dcterms:W3CDTF">2019-10-15T11:00:07Z</dcterms:created>
  <dcterms:modified xsi:type="dcterms:W3CDTF">2022-07-11T10:26:22Z</dcterms:modified>
</cp:coreProperties>
</file>